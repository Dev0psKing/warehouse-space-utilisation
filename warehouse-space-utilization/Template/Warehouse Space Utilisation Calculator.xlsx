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/>
  <xr:revisionPtr revIDLastSave="0" documentId="8_{617BFCEF-1204-424D-8BE0-C3A071FF7CA9}" xr6:coauthVersionLast="47" xr6:coauthVersionMax="47" xr10:uidLastSave="{00000000-0000-0000-0000-000000000000}"/>
  <bookViews>
    <workbookView xWindow="0" yWindow="0" windowWidth="20490" windowHeight="7875" tabRatio="500" activeTab="1" xr2:uid="{00000000-000D-0000-FFFF-FFFF00000000}"/>
  </bookViews>
  <sheets>
    <sheet name="Calculations" sheetId="1" r:id="rId1"/>
    <sheet name="Dashboard" sheetId="7" r:id="rId2"/>
    <sheet name="SKU Details" sheetId="2" r:id="rId3"/>
    <sheet name="Optimization Tips" sheetId="3" r:id="rId4"/>
    <sheet name="Model Assumptions" sheetId="4" r:id="rId5"/>
    <sheet name="Capacity Factors" sheetId="5" r:id="rId6"/>
    <sheet name="KPI Thresholds" sheetId="6" r:id="rId7"/>
  </sheets>
  <definedNames>
    <definedName name="_xlnm._FilterDatabase" localSheetId="2" hidden="1">'SKU Details'!$B$2:$G$9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4" i="7"/>
  <c r="B69" i="1"/>
  <c r="B8" i="7" s="1"/>
  <c r="B75" i="1"/>
  <c r="B74" i="1"/>
  <c r="B73" i="1"/>
  <c r="B39" i="1"/>
  <c r="B45" i="1"/>
  <c r="B72" i="1"/>
  <c r="B17" i="1"/>
  <c r="B9" i="1"/>
  <c r="B19" i="1"/>
  <c r="B21" i="1" s="1"/>
  <c r="B60" i="1" s="1"/>
  <c r="B30" i="1"/>
  <c r="B31" i="1" s="1"/>
  <c r="B33" i="1" s="1"/>
  <c r="B27" i="1"/>
  <c r="C50" i="1" s="1"/>
  <c r="C51" i="1" l="1"/>
  <c r="D51" i="1" s="1"/>
  <c r="C52" i="1"/>
  <c r="D52" i="1" s="1"/>
  <c r="C53" i="1"/>
  <c r="D53" i="1" s="1"/>
  <c r="B38" i="1"/>
  <c r="B42" i="1" l="1"/>
  <c r="D50" i="1"/>
  <c r="D56" i="1" s="1"/>
  <c r="B59" i="1" s="1"/>
  <c r="B43" i="1" l="1"/>
</calcChain>
</file>

<file path=xl/sharedStrings.xml><?xml version="1.0" encoding="utf-8"?>
<sst xmlns="http://schemas.openxmlformats.org/spreadsheetml/2006/main" count="327" uniqueCount="282">
  <si>
    <t>WAREHOUSE SPACE UTILIZATION TRACKER</t>
  </si>
  <si>
    <t xml:space="preserve"> </t>
  </si>
  <si>
    <t xml:space="preserve">   </t>
  </si>
  <si>
    <t xml:space="preserve">  </t>
  </si>
  <si>
    <t xml:space="preserve">    </t>
  </si>
  <si>
    <t>Enter your warehouse details below and calculations auto-fill</t>
  </si>
  <si>
    <t>PHASE 1: WAREHOUSE MEASUREMENTS</t>
  </si>
  <si>
    <t>Metric</t>
  </si>
  <si>
    <t>Value</t>
  </si>
  <si>
    <t>Unit</t>
  </si>
  <si>
    <t>Notes</t>
  </si>
  <si>
    <t>Total floor length</t>
  </si>
  <si>
    <t>feet</t>
  </si>
  <si>
    <t>Measure wall to wall</t>
  </si>
  <si>
    <t>Total floor width</t>
  </si>
  <si>
    <t>Total floor area (length × width)</t>
  </si>
  <si>
    <t>sq ft</t>
  </si>
  <si>
    <t>Auto-calculated (floor length * floor width)</t>
  </si>
  <si>
    <t>Non-storage areas</t>
  </si>
  <si>
    <t>Offices &amp; restrooms</t>
  </si>
  <si>
    <t>Include break rooms, storage rooms</t>
  </si>
  <si>
    <t>Docks (receiving &amp; shipping)</t>
  </si>
  <si>
    <t>Include dock buffers</t>
  </si>
  <si>
    <t>Main aisles (cross-traffic)</t>
  </si>
  <si>
    <t>Primary picking &amp; forklift routes</t>
  </si>
  <si>
    <t>Emergency exits &amp; safety zones</t>
  </si>
  <si>
    <t>Required by law, cannot be used</t>
  </si>
  <si>
    <t>Other (specify)</t>
  </si>
  <si>
    <t>e.g., equipment maintenance area</t>
  </si>
  <si>
    <t>TOTAL non-storage area</t>
  </si>
  <si>
    <t>Sum of all non-storage</t>
  </si>
  <si>
    <t>Usable storage area (Total - Non-storage)</t>
  </si>
  <si>
    <r>
      <rPr>
        <sz val="11"/>
        <color rgb="FF000000"/>
        <rFont val="Calibri"/>
      </rPr>
      <t>This is your actual storage footprint</t>
    </r>
    <r>
      <rPr>
        <b/>
        <sz val="11"/>
        <color rgb="FF000000"/>
        <rFont val="Calibri"/>
      </rPr>
      <t>(Total floor area - TOTAL non-storage area)</t>
    </r>
  </si>
  <si>
    <t>Clear warehouse height</t>
  </si>
  <si>
    <t>Floor to lowest obstruction (beams, lights)</t>
  </si>
  <si>
    <t>TOTAL USABLE CUBE (Storage Area × Height)</t>
  </si>
  <si>
    <t>cubic ft</t>
  </si>
  <si>
    <t>Your maximum storage capacity</t>
  </si>
  <si>
    <t>PHASE 2: PALLET RACKING CONFIGURATION</t>
  </si>
  <si>
    <t>Pallet length (standard)</t>
  </si>
  <si>
    <t>inches</t>
  </si>
  <si>
    <t>Adjust if using non-standard pallets</t>
  </si>
  <si>
    <t>Pallet width (standard)</t>
  </si>
  <si>
    <t>Pallet footprint</t>
  </si>
  <si>
    <t>Calculated (48×40)/144</t>
  </si>
  <si>
    <t>Average loaded pallet height</t>
  </si>
  <si>
    <t>Adjust based on your typical load</t>
  </si>
  <si>
    <t>Per-level clearance (forklift/safety)</t>
  </si>
  <si>
    <t>Recommended minimum</t>
  </si>
  <si>
    <t>Total height per level</t>
  </si>
  <si>
    <t>Pallet height + clearance</t>
  </si>
  <si>
    <t>Total height per level (in feet)</t>
  </si>
  <si>
    <t>Converted for calculation (total height per level / 12)</t>
  </si>
  <si>
    <t>NUMBER OF RACK LEVELS (deep capacity)</t>
  </si>
  <si>
    <t>levels</t>
  </si>
  <si>
    <t>Clear warehouse height / Total height per level (in feet) N.B = it was ran down for safety.</t>
  </si>
  <si>
    <t>RACKING TYPE SELECTION</t>
  </si>
  <si>
    <t>Which racking type? (Single or Double)</t>
  </si>
  <si>
    <t>Single</t>
  </si>
  <si>
    <t>Enter 'Single' or 'Double' below</t>
  </si>
  <si>
    <t>If SINGLE-DEEP racking:</t>
  </si>
  <si>
    <t>Pallets per level (single-deep)</t>
  </si>
  <si>
    <t>positions</t>
  </si>
  <si>
    <t>Usable area ÷ pallet footprint</t>
  </si>
  <si>
    <t>Total pallet positions (levels × per-level)</t>
  </si>
  <si>
    <t>Your total single * deep capacity</t>
  </si>
  <si>
    <t>If DOUBLE-DEEP racking:</t>
  </si>
  <si>
    <t>Pallets per level (double-deep approx)</t>
  </si>
  <si>
    <t>Single × 1.5 multiplier</t>
  </si>
  <si>
    <t>Your total double-deep capacity</t>
  </si>
  <si>
    <t>SELECTED RACKING CAPACITY</t>
  </si>
  <si>
    <t>Choose which applies to you</t>
  </si>
  <si>
    <t>PHASE 3: CURRENT INVENTORY CUBE</t>
  </si>
  <si>
    <t>SKU / Product Category</t>
  </si>
  <si>
    <t>Pallets on Hand</t>
  </si>
  <si>
    <t>Avg Cube per Pallet (ft³)</t>
  </si>
  <si>
    <t>Total Cube (Pallets × Avg)</t>
  </si>
  <si>
    <t>Fast Movers (high turnover)</t>
  </si>
  <si>
    <t>Quick-move items</t>
  </si>
  <si>
    <t>Mid-Range Sellers</t>
  </si>
  <si>
    <t>Regular demand items</t>
  </si>
  <si>
    <t>Slow Movers (seasonal/niche)</t>
  </si>
  <si>
    <t>Lower turnover</t>
  </si>
  <si>
    <t>Overstock (excess/safety stock)</t>
  </si>
  <si>
    <t>Items to manage down</t>
  </si>
  <si>
    <t>(Add more rows as needed)</t>
  </si>
  <si>
    <t>TOTAL ACTUAL INVENTORY CUBE</t>
  </si>
  <si>
    <t>Sum of all inventory</t>
  </si>
  <si>
    <t>PHASE 4: SPACE UTILIZATION CALCULATION</t>
  </si>
  <si>
    <t>Actual inventory cube (from above)</t>
  </si>
  <si>
    <t>Usable warehouse cube (from Phase 1)</t>
  </si>
  <si>
    <t>SPACE UTILIZATION %</t>
  </si>
  <si>
    <t>%</t>
  </si>
  <si>
    <t>Formula: (Actual ÷ Usable) × 100</t>
  </si>
  <si>
    <t>UTILIZATION BENCHMARK</t>
  </si>
  <si>
    <t>&lt; 40%</t>
  </si>
  <si>
    <t>Low Utilisation</t>
  </si>
  <si>
    <t>40-50%</t>
  </si>
  <si>
    <t>Good utilisation with maneuverability</t>
  </si>
  <si>
    <t>✓ Healthy range for operations</t>
  </si>
  <si>
    <t>50-70%</t>
  </si>
  <si>
    <t>Strong utilisation (TARGET RANGE)</t>
  </si>
  <si>
    <t>✓ Optimal for most warehouses</t>
  </si>
  <si>
    <t>70%+</t>
  </si>
  <si>
    <t>High density / Congestion risk</t>
  </si>
  <si>
    <t>⚠ May impact picking speed &amp; safety</t>
  </si>
  <si>
    <t>YOUR STATUS</t>
  </si>
  <si>
    <t>QUICK NOTES FOR YOUR WAREHOUSE</t>
  </si>
  <si>
    <t>Current inventory pallets</t>
  </si>
  <si>
    <t>pallets</t>
  </si>
  <si>
    <t>Total pallets on handSum of Fast Movers (2,000) + Mid-Range (1,000) + Slow Movers (500) + Overstock (295)</t>
  </si>
  <si>
    <t>Total capacity</t>
  </si>
  <si>
    <t>From racking calculation (Single-deep: 1,710 × 4 levels)</t>
  </si>
  <si>
    <t>Pallet positions available (remaining)</t>
  </si>
  <si>
    <t>Spare capacity (6,840 - 3,795 = 3,045)</t>
  </si>
  <si>
    <t>% of capacity used</t>
  </si>
  <si>
    <t>Pallet-based utilization check ((3,795 ÷ 6,840) × 100 = 55.5%)</t>
  </si>
  <si>
    <t>&lt;75%</t>
  </si>
  <si>
    <t>Good - Room to grow</t>
  </si>
  <si>
    <t>76 - 90%</t>
  </si>
  <si>
    <t>Monitor closely</t>
  </si>
  <si>
    <t>&gt; 90%</t>
  </si>
  <si>
    <t>High - Consider double-deep or expansion</t>
  </si>
  <si>
    <t>Overall Space Utilization %</t>
  </si>
  <si>
    <t>SPACE UTILIZATION</t>
  </si>
  <si>
    <t>STATUS</t>
  </si>
  <si>
    <t>Inventory Space Utilisation</t>
  </si>
  <si>
    <t xml:space="preserve">     </t>
  </si>
  <si>
    <t xml:space="preserve">        </t>
  </si>
  <si>
    <t>SKU Code</t>
  </si>
  <si>
    <t>Product Name</t>
  </si>
  <si>
    <t>Pallet Height (in)</t>
  </si>
  <si>
    <t>Pallet Cube (ft³)</t>
  </si>
  <si>
    <t>ABC Category</t>
  </si>
  <si>
    <t>SKU-001</t>
  </si>
  <si>
    <t>Product A</t>
  </si>
  <si>
    <t>150</t>
  </si>
  <si>
    <t>48</t>
  </si>
  <si>
    <t>3.2</t>
  </si>
  <si>
    <t>A - Fast mover</t>
  </si>
  <si>
    <t>High priority</t>
  </si>
  <si>
    <t>SKU-002</t>
  </si>
  <si>
    <t>Product B</t>
  </si>
  <si>
    <t>200</t>
  </si>
  <si>
    <t>60</t>
  </si>
  <si>
    <t>5.0</t>
  </si>
  <si>
    <t>Core inventory</t>
  </si>
  <si>
    <t>SKU-003</t>
  </si>
  <si>
    <t>Product C</t>
  </si>
  <si>
    <t>100</t>
  </si>
  <si>
    <t>45</t>
  </si>
  <si>
    <t>3.0</t>
  </si>
  <si>
    <t>B - Mid seller</t>
  </si>
  <si>
    <t>Regular demand</t>
  </si>
  <si>
    <t>SKU-004</t>
  </si>
  <si>
    <t>Product D</t>
  </si>
  <si>
    <t>75</t>
  </si>
  <si>
    <t>50</t>
  </si>
  <si>
    <t>3.3</t>
  </si>
  <si>
    <t>Seasonal</t>
  </si>
  <si>
    <t>SKU-005</t>
  </si>
  <si>
    <t>Product E</t>
  </si>
  <si>
    <t>36</t>
  </si>
  <si>
    <t>2.4</t>
  </si>
  <si>
    <t>C - Slow mover</t>
  </si>
  <si>
    <t>SKU-006</t>
  </si>
  <si>
    <t>Product F</t>
  </si>
  <si>
    <t>40</t>
  </si>
  <si>
    <t>55</t>
  </si>
  <si>
    <t>4.6</t>
  </si>
  <si>
    <t>Niche item</t>
  </si>
  <si>
    <t>SKU-007</t>
  </si>
  <si>
    <t>Overstock / Safety Stock</t>
  </si>
  <si>
    <t>85</t>
  </si>
  <si>
    <t>Overstock</t>
  </si>
  <si>
    <t>To manage down</t>
  </si>
  <si>
    <t>HOW TO USE THIS SHEET:</t>
  </si>
  <si>
    <t>1. List each major SKU/product</t>
  </si>
  <si>
    <t>2. Count or estimate pallets on hand</t>
  </si>
  <si>
    <t>3. Measure or estimate pallet height when stacked with load</t>
  </si>
  <si>
    <t>4. Calculate cube: (Pallet footprint 13.33 sq ft) × (Height in feet)</t>
  </si>
  <si>
    <t>5. Classify by ABC (A=fast, B=regular, C=slow) for slotting strategy</t>
  </si>
  <si>
    <t>6. Use totals in Main Calculation sheet for accuracy</t>
  </si>
  <si>
    <t>WAREHOUSE SPACE OPTIMIZATION QUICK-WIN CHECKLIST</t>
  </si>
  <si>
    <t>PROBLEM / OPPORTUNITY</t>
  </si>
  <si>
    <t>ACTION STEP</t>
  </si>
  <si>
    <t>Expected Benefit</t>
  </si>
  <si>
    <t>Low utilization (&lt;40%)</t>
  </si>
  <si>
    <t>1. Review slow-moving inventory (SKU C items)</t>
  </si>
  <si>
    <t>Free up 10-20% cube</t>
  </si>
  <si>
    <t>2. Consolidate pallets if safe (mix compatible SKUs)</t>
  </si>
  <si>
    <t>Reduce pallet count</t>
  </si>
  <si>
    <t>3. Return excess stock to vendor or clearance</t>
  </si>
  <si>
    <t>Right-size inventory</t>
  </si>
  <si>
    <t>4. Expand product mix or take on new customers</t>
  </si>
  <si>
    <t>Fill available space</t>
  </si>
  <si>
    <t>High utilization (&gt;70%) / Congestion</t>
  </si>
  <si>
    <t>1. Implement ABC slotting - move slow movers to back</t>
  </si>
  <si>
    <t>Faster picking routes</t>
  </si>
  <si>
    <t>2. Use vertical space: add mezzanine or taller racking</t>
  </si>
  <si>
    <t>Increase capacity 20-40%</t>
  </si>
  <si>
    <t>3. Improve picking process: batch picks, reduce travel time</t>
  </si>
  <si>
    <t>Handle same volume faster</t>
  </si>
  <si>
    <t>4. Offload seasonal/overstock to 3PL partner</t>
  </si>
  <si>
    <t>Reduce footprint</t>
  </si>
  <si>
    <t>Picking is slow despite decent utilization</t>
  </si>
  <si>
    <t>1. Review current slotting - are fast movers near dispatch?</t>
  </si>
  <si>
    <t>Reduce travel time 15-30%</t>
  </si>
  <si>
    <t>2. Optimize bin locations (lower levels = faster picks)</t>
  </si>
  <si>
    <t>Ergonomics &amp; speed</t>
  </si>
  <si>
    <t>3. Implement pick-to-light or put-wall system</t>
  </si>
  <si>
    <t>Accuracy + speed boost</t>
  </si>
  <si>
    <t>4. Reduce aisle clutter, ensure clear pathways</t>
  </si>
  <si>
    <t>Safety + efficiency</t>
  </si>
  <si>
    <t>Forklift utilization is low</t>
  </si>
  <si>
    <t>1. Review dock operations - are forklifts idle waiting?</t>
  </si>
  <si>
    <t>Reduce wasted labor</t>
  </si>
  <si>
    <t>2. Batch putaway and retrieval tasks</t>
  </si>
  <si>
    <t>Higher throughput per forklift</t>
  </si>
  <si>
    <t>3. Cross-train staff on dock &amp; racking</t>
  </si>
  <si>
    <t>Flexibility in demand spikes</t>
  </si>
  <si>
    <t>Don't know exact pallet cubes</t>
  </si>
  <si>
    <t>1. Measure a sample of each SKU (3-5 pallets)</t>
  </si>
  <si>
    <t>Accurate future forecasts</t>
  </si>
  <si>
    <t>2. Record in SKU Details sheet monthly</t>
  </si>
  <si>
    <t>Build historical baseline</t>
  </si>
  <si>
    <t>3. Use this data to forecast space for growth</t>
  </si>
  <si>
    <t>Plan capacity expansion</t>
  </si>
  <si>
    <t>HIGH-IMPACT IMPROVEMENTS (Prioritize these)</t>
  </si>
  <si>
    <t>Step 1</t>
  </si>
  <si>
    <t>Measure your actual warehouse (length, width, height, non-storage areas)</t>
  </si>
  <si>
    <t>Know your real baseline</t>
  </si>
  <si>
    <t>Step 2</t>
  </si>
  <si>
    <t>Count pallets and estimate cube for top 10 SKUs (80/20 rule)</t>
  </si>
  <si>
    <t>Quick, 90% accurate</t>
  </si>
  <si>
    <t>Step 3</t>
  </si>
  <si>
    <t>Calculate current utilization %</t>
  </si>
  <si>
    <t>Know your starting point</t>
  </si>
  <si>
    <t>Step 4</t>
  </si>
  <si>
    <t>Implement ABC slotting (A items near dock, C items back)</t>
  </si>
  <si>
    <t>10-30% picking speed gain</t>
  </si>
  <si>
    <t>Step 5</t>
  </si>
  <si>
    <t>Monitor monthly - track utilization trend</t>
  </si>
  <si>
    <t>Spot problems early</t>
  </si>
  <si>
    <t>FMCG-SPECIFIC NOTES:</t>
  </si>
  <si>
    <t>FIFO Rotation</t>
  </si>
  <si>
    <t>Older stock must leave first. Mark entry dates on pallets. Review expiry dates weekly.</t>
  </si>
  <si>
    <t>Fast Movers</t>
  </si>
  <si>
    <t>FMCG items (beverages, staples) turn fast. Place near dispatch for quick loading.</t>
  </si>
  <si>
    <t>Seasonal Peaks</t>
  </si>
  <si>
    <t>Plan buffer space Oct-Nov (holiday stock). Use utilization 50-60% target in off-season.</t>
  </si>
  <si>
    <t>Damage Control</t>
  </si>
  <si>
    <t>Inspect loaded pallets weekly. High-cube items (light/bulky) waste space; consider repackaging.</t>
  </si>
  <si>
    <t>Dock Efficiency</t>
  </si>
  <si>
    <t>Your picking speed depends on dock layout. Minimize dock-to-racking travel time.</t>
  </si>
  <si>
    <t>MODEL ASSUMPTIONS</t>
  </si>
  <si>
    <t>Warehouse dimensions</t>
  </si>
  <si>
    <t>Usable storage space only (aisles/offices excluded)</t>
  </si>
  <si>
    <t>Height definition</t>
  </si>
  <si>
    <t>Clear storage height excluding sprinkler clearance</t>
  </si>
  <si>
    <t>Pallet dimensions</t>
  </si>
  <si>
    <t>Loaded pallet dimensions</t>
  </si>
  <si>
    <t>SKU storage rule</t>
  </si>
  <si>
    <t>One SKU per pallet position</t>
  </si>
  <si>
    <t>Capacity logic</t>
  </si>
  <si>
    <t>Utilization &gt; 85% indicates congestion risk</t>
  </si>
  <si>
    <t>Capacity Adjustment Inputs</t>
  </si>
  <si>
    <t>Gross Warehouse Volume</t>
  </si>
  <si>
    <t>Auto-calculated</t>
  </si>
  <si>
    <t>Usable Space Factor</t>
  </si>
  <si>
    <t>Usable Storage Volume</t>
  </si>
  <si>
    <t>Utilization Thresholds</t>
  </si>
  <si>
    <t>Green</t>
  </si>
  <si>
    <t>Amber</t>
  </si>
  <si>
    <t>Red</t>
  </si>
  <si>
    <t>Cubic Utilization</t>
  </si>
  <si>
    <t>&lt;70%</t>
  </si>
  <si>
    <t>70–85%</t>
  </si>
  <si>
    <t>&gt;85%</t>
  </si>
  <si>
    <t>Pallet Utilization</t>
  </si>
  <si>
    <t>75–90%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</si>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</sst>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rgb="FF000000"/>
      <name val="Calibri"/>
      <charset val="1"/>
    </font>
    <font>
      <b/>
      <sz val="11"/>
      <name val="Cambria"/>
      <charset val="1"/>
    </font>
    <font>
      <sz val="12"/>
      <color theme="1"/>
      <name val="Calibri"/>
      <charset val="1"/>
    </font>
    <font>
      <sz val="12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FkGroteskNeue"/>
      <charset val="1"/>
    </font>
    <font>
      <b/>
      <sz val="18"/>
      <color theme="0"/>
      <name val="Calibri"/>
      <charset val="1"/>
    </font>
    <font>
      <b/>
      <sz val="12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theme="1"/>
      <name val="Calibri"/>
      <charset val="1"/>
    </font>
    <font>
      <b/>
      <sz val="16"/>
      <color theme="0"/>
      <name val="Calibri"/>
    </font>
    <font>
      <b/>
      <sz val="12"/>
      <color theme="0"/>
      <name val="Calibri"/>
      <scheme val="minor"/>
    </font>
    <font>
      <b/>
      <sz val="12"/>
      <color theme="0"/>
      <name val="Calibri"/>
      <charset val="1"/>
    </font>
    <font>
      <sz val="11"/>
      <color theme="0"/>
      <name val="Calibri Light"/>
      <scheme val="major"/>
    </font>
    <font>
      <b/>
      <sz val="18"/>
      <color rgb="FF000000"/>
      <name val="Calibri"/>
    </font>
    <font>
      <b/>
      <sz val="14"/>
      <color rgb="FF000000"/>
      <name val="Calibri"/>
      <scheme val="minor"/>
    </font>
    <font>
      <b/>
      <sz val="16"/>
      <color rgb="FF000000"/>
      <name val="Calibri"/>
      <charset val="1"/>
    </font>
    <font>
      <sz val="14"/>
      <color rgb="FF000000"/>
      <name val="Calibri"/>
      <charset val="1"/>
    </font>
    <font>
      <b/>
      <sz val="20"/>
      <color theme="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164" fontId="2" fillId="4" borderId="0" xfId="0" applyNumberFormat="1" applyFont="1" applyFill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left"/>
    </xf>
    <xf numFmtId="164" fontId="8" fillId="0" borderId="0" xfId="0" applyNumberFormat="1" applyFont="1" applyAlignment="1">
      <alignment wrapText="1"/>
    </xf>
    <xf numFmtId="164" fontId="5" fillId="0" borderId="0" xfId="0" applyNumberFormat="1" applyFont="1"/>
    <xf numFmtId="164" fontId="0" fillId="0" borderId="0" xfId="0" applyNumberFormat="1" applyAlignment="1">
      <alignment wrapText="1"/>
    </xf>
    <xf numFmtId="164" fontId="7" fillId="0" borderId="0" xfId="0" applyNumberFormat="1" applyFont="1"/>
    <xf numFmtId="164" fontId="10" fillId="6" borderId="0" xfId="0" applyNumberFormat="1" applyFont="1" applyFill="1" applyAlignment="1">
      <alignment horizontal="left"/>
    </xf>
    <xf numFmtId="164" fontId="0" fillId="7" borderId="0" xfId="0" applyNumberFormat="1" applyFill="1" applyAlignment="1">
      <alignment horizontal="left"/>
    </xf>
    <xf numFmtId="164" fontId="0" fillId="8" borderId="0" xfId="0" applyNumberFormat="1" applyFill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0" borderId="0" xfId="0" applyNumberFormat="1" applyFont="1" applyAlignment="1">
      <alignment horizontal="left"/>
    </xf>
    <xf numFmtId="164" fontId="0" fillId="2" borderId="0" xfId="0" applyNumberFormat="1" applyFill="1"/>
    <xf numFmtId="0" fontId="6" fillId="9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4" fillId="0" borderId="0" xfId="0" applyFont="1"/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4" fontId="4" fillId="0" borderId="0" xfId="0" applyNumberFormat="1" applyFont="1" applyAlignment="1">
      <alignment wrapText="1"/>
    </xf>
    <xf numFmtId="164" fontId="4" fillId="10" borderId="0" xfId="0" applyNumberFormat="1" applyFont="1" applyFill="1" applyAlignment="1">
      <alignment horizontal="left"/>
    </xf>
    <xf numFmtId="164" fontId="4" fillId="11" borderId="0" xfId="0" applyNumberFormat="1" applyFont="1" applyFill="1" applyAlignment="1">
      <alignment horizontal="left"/>
    </xf>
    <xf numFmtId="164" fontId="4" fillId="6" borderId="0" xfId="0" applyNumberFormat="1" applyFont="1" applyFill="1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 vertical="top"/>
    </xf>
    <xf numFmtId="0" fontId="19" fillId="3" borderId="0" xfId="0" applyFont="1" applyFill="1" applyAlignment="1">
      <alignment horizontal="left"/>
    </xf>
  </cellXfs>
  <cellStyles count="1">
    <cellStyle name="Normal" xfId="0" builtinId="0"/>
  </cellStyles>
  <dxfs count="19"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5" tint="-0.249977111117893"/>
        </patternFill>
      </fill>
    </dxf>
    <dxf>
      <font>
        <color rgb="FF2C3E50"/>
      </font>
      <fill>
        <patternFill patternType="solid">
          <bgColor theme="9" tint="-0.249977111117893"/>
        </patternFill>
      </fill>
    </dxf>
    <dxf>
      <font>
        <color rgb="FF2C3E50"/>
      </font>
      <fill>
        <patternFill patternType="solid">
          <bgColor rgb="FFFF0000"/>
        </patternFill>
      </fill>
    </dxf>
    <dxf>
      <font>
        <color rgb="FF2C3E50"/>
      </font>
      <fill>
        <patternFill patternType="solid">
          <bgColor rgb="FF00B050"/>
        </patternFill>
      </fill>
    </dxf>
    <dxf>
      <font>
        <color rgb="FF2C3E50"/>
      </font>
      <fill>
        <patternFill patternType="solid">
          <bgColor rgb="FFFF0000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  <alignment horizontal="left"/>
    </dxf>
    <dxf>
      <numFmt numFmtId="164" formatCode="0.0"/>
    </dxf>
    <dxf>
      <numFmt numFmtId="164" formatCode="0.0"/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7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 tint="-0.499984740745262"/>
        </patternFill>
      </fill>
    </dxf>
    <dxf>
      <font>
        <color theme="1"/>
      </font>
      <fill>
        <patternFill patternType="solid">
          <bgColor theme="5" tint="-0.499984740745262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2C3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72CCFC-EF4A-4894-BB59-6763D63B3EC1}" name="Table3" displayName="Table3" ref="A1:E98" totalsRowShown="0" dataDxfId="11">
  <autoFilter ref="A1:E98" xr:uid="{1A72CCFC-EF4A-4894-BB59-6763D63B3EC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7EA33BD-0AD7-4F40-A685-82B21F5ECA56}" name="WAREHOUSE SPACE UTILIZATION TRACKER" dataDxfId="10"/>
    <tableColumn id="2" xr3:uid="{9F7AF6DE-68A1-4487-A840-66516B17B9F1}" name=" " dataDxfId="9"/>
    <tableColumn id="3" xr3:uid="{3A68B724-75CB-4911-998E-56FA81B2140F}" name="   " dataDxfId="8"/>
    <tableColumn id="4" xr3:uid="{17B5AAD0-54D4-44FA-A960-C3C63002AB34}" name="  " dataDxfId="7"/>
    <tableColumn id="5" xr3:uid="{2E476F81-C43B-44E8-BF86-B276427D6303}" name="    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319B9E-2C1F-4A9C-8C14-AAC9C68E401B}" name="Table4" displayName="Table4" ref="A1:G9" totalsRowShown="0">
  <autoFilter ref="A1:G9" xr:uid="{49319B9E-2C1F-4A9C-8C14-AAC9C68E40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DEC4F53-6B0D-48FC-B874-039168D0F684}" name="Inventory Space Utilisation"/>
    <tableColumn id="2" xr3:uid="{B18F22A0-7FB8-43D2-A30C-E33DB09AE8DF}" name=" "/>
    <tableColumn id="3" xr3:uid="{CB10FAB6-1317-4BEE-BE06-1F264B225B7F}" name="   "/>
    <tableColumn id="4" xr3:uid="{2F886F91-C31E-4270-BA9F-6D91DF35AA83}" name="  "/>
    <tableColumn id="5" xr3:uid="{97C01D9E-95DB-47D5-ADC9-BEB0C7FE6DB6}" name="    "/>
    <tableColumn id="6" xr3:uid="{92D2B1A1-A9EB-4EF1-B112-B4AF9528EBD5}" name="     "/>
    <tableColumn id="7" xr3:uid="{37D7FAB5-9797-449F-8AB1-E09C98D4554A}" name="       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627D30-AE5E-4EAB-8408-67A2BED22765}" name="Table5" displayName="Table5" ref="A3:C40" totalsRowShown="0">
  <autoFilter ref="A3:C40" xr:uid="{B9627D30-AE5E-4EAB-8408-67A2BED22765}">
    <filterColumn colId="0" hiddenButton="1"/>
    <filterColumn colId="1" hiddenButton="1"/>
    <filterColumn colId="2" hiddenButton="1"/>
  </autoFilter>
  <tableColumns count="3">
    <tableColumn id="1" xr3:uid="{99D96057-492D-465E-8D47-2C00F814672F}" name="PROBLEM / OPPORTUNITY"/>
    <tableColumn id="2" xr3:uid="{AB000C0D-4C4B-49FD-8BEA-7624A81392D7}" name="ACTION STEP"/>
    <tableColumn id="3" xr3:uid="{3103999D-925D-474C-8F2B-FA4C09847C3C}" name="Expected Benefi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70A823-1273-4D67-963C-8264B2F05E17}" name="Table9" displayName="Table9" ref="A3:B7" totalsRowShown="0">
  <autoFilter ref="A3:B7" xr:uid="{4F70A823-1273-4D67-963C-8264B2F05E17}">
    <filterColumn colId="0" hiddenButton="1"/>
    <filterColumn colId="1" hiddenButton="1"/>
  </autoFilter>
  <tableColumns count="2">
    <tableColumn id="1" xr3:uid="{C0E03093-0080-4ED3-BBB6-659D7DBDE5F7}" name="Warehouse dimensions"/>
    <tableColumn id="2" xr3:uid="{2BE6225A-117A-448B-96BD-67727BFDF75D}" name="Usable storage space only (aisles/offices excluded)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515C43-C498-498F-B279-20698ABF44A3}" name="Table10" displayName="Table10" ref="A3:B5" totalsRowShown="0">
  <autoFilter ref="A3:B5" xr:uid="{FA515C43-C498-498F-B279-20698ABF44A3}">
    <filterColumn colId="0" hiddenButton="1"/>
    <filterColumn colId="1" hiddenButton="1"/>
  </autoFilter>
  <tableColumns count="2">
    <tableColumn id="1" xr3:uid="{A4BC341D-C223-4A0D-9622-79864A36060B}" name="Gross Warehouse Volume"/>
    <tableColumn id="2" xr3:uid="{BB52DF16-AEB8-477D-927E-6C6E0B0AD5D1}" name="Auto-calcula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CB6CAD-B9DC-4038-85FF-A98F3BDBB00D}" name="Table11" displayName="Table11" ref="A3:D5" totalsRowShown="0">
  <autoFilter ref="A3:D5" xr:uid="{65CB6CAD-B9DC-4038-85FF-A98F3BDBB00D}">
    <filterColumn colId="0" hiddenButton="1"/>
    <filterColumn colId="1" hiddenButton="1"/>
    <filterColumn colId="2" hiddenButton="1"/>
    <filterColumn colId="3" hiddenButton="1"/>
  </autoFilter>
  <tableColumns count="4">
    <tableColumn id="1" xr3:uid="{28D3E885-AE33-49C3-8095-F44CE5F640C1}" name="Metric"/>
    <tableColumn id="2" xr3:uid="{15EAE4E3-516A-4318-BB07-B683A7D1CE35}" name="Green"/>
    <tableColumn id="3" xr3:uid="{8C26EAF6-C604-4264-871A-557AD9C43D79}" name="Amber"/>
    <tableColumn id="4" xr3:uid="{0A1C6F80-DBAC-4A2B-98E8-14E7E20AE9AB}" name="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showGridLines="0" topLeftCell="A55" workbookViewId="0">
      <selection activeCell="B61" sqref="B61"/>
    </sheetView>
  </sheetViews>
  <sheetFormatPr defaultColWidth="8.5703125" defaultRowHeight="15"/>
  <cols>
    <col min="1" max="1" width="64.5703125" customWidth="1"/>
    <col min="2" max="2" width="50.7109375" style="3" customWidth="1"/>
    <col min="3" max="3" width="27.7109375" customWidth="1"/>
    <col min="4" max="4" width="45.7109375" customWidth="1"/>
    <col min="5" max="5" width="37.7109375" customWidth="1"/>
  </cols>
  <sheetData>
    <row r="1" spans="1:5" ht="96" customHeight="1">
      <c r="A1" s="25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25.5" customHeight="1">
      <c r="A2" s="5" t="s">
        <v>5</v>
      </c>
      <c r="B2" s="6"/>
      <c r="C2" s="7"/>
      <c r="D2" s="7"/>
      <c r="E2" s="7"/>
    </row>
    <row r="3" spans="1:5">
      <c r="A3" s="8"/>
      <c r="B3" s="9"/>
      <c r="C3" s="8"/>
      <c r="D3" s="8"/>
      <c r="E3" s="8"/>
    </row>
    <row r="4" spans="1:5" ht="15.75">
      <c r="A4" s="10" t="s">
        <v>6</v>
      </c>
      <c r="B4" s="11"/>
      <c r="C4" s="11"/>
      <c r="D4" s="11"/>
      <c r="E4" s="8"/>
    </row>
    <row r="5" spans="1:5">
      <c r="A5" s="11"/>
      <c r="B5" s="11"/>
      <c r="C5" s="11"/>
      <c r="D5" s="11"/>
      <c r="E5" s="8"/>
    </row>
    <row r="6" spans="1:5" ht="20.25" customHeight="1">
      <c r="A6" s="12" t="s">
        <v>7</v>
      </c>
      <c r="B6" s="12" t="s">
        <v>8</v>
      </c>
      <c r="C6" s="12" t="s">
        <v>9</v>
      </c>
      <c r="D6" s="12" t="s">
        <v>10</v>
      </c>
      <c r="E6" s="8"/>
    </row>
    <row r="7" spans="1:5">
      <c r="A7" s="8" t="s">
        <v>11</v>
      </c>
      <c r="B7" s="9">
        <v>190</v>
      </c>
      <c r="C7" s="24" t="s">
        <v>12</v>
      </c>
      <c r="D7" s="8" t="s">
        <v>13</v>
      </c>
      <c r="E7" s="8"/>
    </row>
    <row r="8" spans="1:5">
      <c r="A8" s="8" t="s">
        <v>14</v>
      </c>
      <c r="B8" s="9">
        <v>120</v>
      </c>
      <c r="C8" s="8" t="s">
        <v>12</v>
      </c>
      <c r="D8" s="8" t="s">
        <v>13</v>
      </c>
      <c r="E8" s="8"/>
    </row>
    <row r="9" spans="1:5">
      <c r="A9" s="13" t="s">
        <v>15</v>
      </c>
      <c r="B9" s="14">
        <f>B7 * B8</f>
        <v>22800</v>
      </c>
      <c r="C9" s="8" t="s">
        <v>16</v>
      </c>
      <c r="D9" s="8" t="s">
        <v>17</v>
      </c>
      <c r="E9" s="8"/>
    </row>
    <row r="10" spans="1:5">
      <c r="A10" s="8"/>
      <c r="B10" s="9"/>
      <c r="C10" s="8"/>
      <c r="D10" s="8"/>
      <c r="E10" s="8"/>
    </row>
    <row r="11" spans="1:5">
      <c r="A11" s="8" t="s">
        <v>18</v>
      </c>
      <c r="B11" s="9"/>
      <c r="C11" s="8"/>
      <c r="D11" s="8"/>
      <c r="E11" s="8"/>
    </row>
    <row r="12" spans="1:5">
      <c r="A12" s="8" t="s">
        <v>19</v>
      </c>
      <c r="B12" s="9">
        <v>2200</v>
      </c>
      <c r="C12" s="8" t="s">
        <v>16</v>
      </c>
      <c r="D12" s="8" t="s">
        <v>20</v>
      </c>
      <c r="E12" s="8"/>
    </row>
    <row r="13" spans="1:5">
      <c r="A13" s="8" t="s">
        <v>21</v>
      </c>
      <c r="B13" s="9">
        <v>3500</v>
      </c>
      <c r="C13" s="8" t="s">
        <v>16</v>
      </c>
      <c r="D13" s="8" t="s">
        <v>22</v>
      </c>
      <c r="E13" s="8"/>
    </row>
    <row r="14" spans="1:5">
      <c r="A14" s="8" t="s">
        <v>23</v>
      </c>
      <c r="B14" s="9">
        <v>4000</v>
      </c>
      <c r="C14" s="8" t="s">
        <v>16</v>
      </c>
      <c r="D14" s="8" t="s">
        <v>24</v>
      </c>
      <c r="E14" s="8"/>
    </row>
    <row r="15" spans="1:5">
      <c r="A15" s="8" t="s">
        <v>25</v>
      </c>
      <c r="B15" s="9">
        <v>1200</v>
      </c>
      <c r="C15" s="8" t="s">
        <v>16</v>
      </c>
      <c r="D15" s="8" t="s">
        <v>26</v>
      </c>
      <c r="E15" s="8"/>
    </row>
    <row r="16" spans="1:5">
      <c r="A16" s="8" t="s">
        <v>27</v>
      </c>
      <c r="B16" s="9">
        <v>600</v>
      </c>
      <c r="C16" s="8" t="s">
        <v>16</v>
      </c>
      <c r="D16" s="8" t="s">
        <v>28</v>
      </c>
      <c r="E16" s="8"/>
    </row>
    <row r="17" spans="1:5">
      <c r="A17" s="13" t="s">
        <v>29</v>
      </c>
      <c r="B17" s="14">
        <f>B12+B13+B14+B15+B16</f>
        <v>11500</v>
      </c>
      <c r="C17" s="8" t="s">
        <v>16</v>
      </c>
      <c r="D17" s="8" t="s">
        <v>30</v>
      </c>
      <c r="E17" s="8"/>
    </row>
    <row r="18" spans="1:5">
      <c r="A18" s="8"/>
      <c r="B18" s="9"/>
      <c r="C18" s="8"/>
      <c r="D18" s="8"/>
      <c r="E18" s="8"/>
    </row>
    <row r="19" spans="1:5" ht="30.75">
      <c r="A19" s="13" t="s">
        <v>31</v>
      </c>
      <c r="B19" s="14">
        <f>B9-B17</f>
        <v>11300</v>
      </c>
      <c r="C19" s="8" t="s">
        <v>16</v>
      </c>
      <c r="D19" s="15" t="s">
        <v>32</v>
      </c>
      <c r="E19" s="8"/>
    </row>
    <row r="20" spans="1:5">
      <c r="A20" s="8" t="s">
        <v>33</v>
      </c>
      <c r="B20" s="9">
        <v>28</v>
      </c>
      <c r="C20" s="8" t="s">
        <v>12</v>
      </c>
      <c r="D20" s="8" t="s">
        <v>34</v>
      </c>
      <c r="E20" s="8"/>
    </row>
    <row r="21" spans="1:5">
      <c r="A21" s="13" t="s">
        <v>35</v>
      </c>
      <c r="B21" s="14">
        <f>B19*B20</f>
        <v>316400</v>
      </c>
      <c r="C21" s="8" t="s">
        <v>36</v>
      </c>
      <c r="D21" s="8" t="s">
        <v>37</v>
      </c>
      <c r="E21" s="8"/>
    </row>
    <row r="22" spans="1:5">
      <c r="A22" s="8"/>
      <c r="B22" s="9"/>
      <c r="C22" s="8"/>
      <c r="D22" s="8"/>
      <c r="E22" s="8"/>
    </row>
    <row r="23" spans="1:5" ht="23.25" customHeight="1">
      <c r="A23" s="10" t="s">
        <v>38</v>
      </c>
      <c r="B23" s="9"/>
      <c r="C23" s="8"/>
      <c r="D23" s="8"/>
      <c r="E23" s="8"/>
    </row>
    <row r="24" spans="1:5">
      <c r="A24" s="8"/>
      <c r="B24" s="9"/>
      <c r="C24" s="8"/>
      <c r="D24" s="8"/>
      <c r="E24" s="8"/>
    </row>
    <row r="25" spans="1:5">
      <c r="A25" s="16" t="s">
        <v>39</v>
      </c>
      <c r="B25" s="9">
        <v>48</v>
      </c>
      <c r="C25" s="8" t="s">
        <v>40</v>
      </c>
      <c r="D25" s="8" t="s">
        <v>41</v>
      </c>
      <c r="E25" s="8"/>
    </row>
    <row r="26" spans="1:5">
      <c r="A26" s="16" t="s">
        <v>42</v>
      </c>
      <c r="B26" s="9">
        <v>40</v>
      </c>
      <c r="C26" s="8"/>
      <c r="D26" s="8"/>
      <c r="E26" s="8"/>
    </row>
    <row r="27" spans="1:5">
      <c r="A27" s="13" t="s">
        <v>43</v>
      </c>
      <c r="B27" s="14">
        <f>B25* B26 /144</f>
        <v>13.333333333333334</v>
      </c>
      <c r="C27" s="8" t="s">
        <v>16</v>
      </c>
      <c r="D27" s="8" t="s">
        <v>44</v>
      </c>
      <c r="E27" s="8"/>
    </row>
    <row r="28" spans="1:5">
      <c r="A28" s="8" t="s">
        <v>45</v>
      </c>
      <c r="B28" s="9">
        <v>60</v>
      </c>
      <c r="C28" s="8" t="s">
        <v>40</v>
      </c>
      <c r="D28" s="8" t="s">
        <v>46</v>
      </c>
      <c r="E28" s="8"/>
    </row>
    <row r="29" spans="1:5">
      <c r="A29" s="8" t="s">
        <v>47</v>
      </c>
      <c r="B29" s="9">
        <v>12</v>
      </c>
      <c r="C29" s="8" t="s">
        <v>40</v>
      </c>
      <c r="D29" s="8" t="s">
        <v>48</v>
      </c>
      <c r="E29" s="8"/>
    </row>
    <row r="30" spans="1:5">
      <c r="A30" s="13" t="s">
        <v>49</v>
      </c>
      <c r="B30" s="14">
        <f>B28 +B29</f>
        <v>72</v>
      </c>
      <c r="C30" s="8" t="s">
        <v>40</v>
      </c>
      <c r="D30" s="8" t="s">
        <v>50</v>
      </c>
      <c r="E30" s="8"/>
    </row>
    <row r="31" spans="1:5" ht="15" customHeight="1">
      <c r="A31" s="13" t="s">
        <v>51</v>
      </c>
      <c r="B31" s="14">
        <f>B30/12</f>
        <v>6</v>
      </c>
      <c r="C31" s="8" t="s">
        <v>12</v>
      </c>
      <c r="D31" s="17" t="s">
        <v>52</v>
      </c>
      <c r="E31" s="8"/>
    </row>
    <row r="32" spans="1:5">
      <c r="A32" s="8"/>
      <c r="B32" s="9"/>
      <c r="C32" s="8"/>
      <c r="D32" s="8"/>
      <c r="E32" s="8"/>
    </row>
    <row r="33" spans="1:5" ht="30.75">
      <c r="A33" s="13" t="s">
        <v>53</v>
      </c>
      <c r="B33" s="14">
        <f>INT(B20/B31)</f>
        <v>4</v>
      </c>
      <c r="C33" s="8" t="s">
        <v>54</v>
      </c>
      <c r="D33" s="17" t="s">
        <v>55</v>
      </c>
      <c r="E33" s="8"/>
    </row>
    <row r="34" spans="1:5">
      <c r="A34" s="8"/>
      <c r="B34" s="9"/>
      <c r="C34" s="8"/>
      <c r="D34" s="8"/>
      <c r="E34" s="8"/>
    </row>
    <row r="35" spans="1:5" ht="21" customHeight="1">
      <c r="A35" s="18" t="s">
        <v>56</v>
      </c>
      <c r="B35" s="9"/>
      <c r="C35" s="8"/>
      <c r="D35" s="8"/>
      <c r="E35" s="8"/>
    </row>
    <row r="36" spans="1:5">
      <c r="A36" s="13" t="s">
        <v>57</v>
      </c>
      <c r="B36" s="14" t="s">
        <v>58</v>
      </c>
      <c r="C36" s="13"/>
      <c r="D36" s="8" t="s">
        <v>59</v>
      </c>
      <c r="E36" s="8"/>
    </row>
    <row r="37" spans="1:5">
      <c r="A37" s="13" t="s">
        <v>60</v>
      </c>
      <c r="B37" s="9"/>
      <c r="C37" s="8"/>
      <c r="D37" s="8"/>
      <c r="E37" s="8"/>
    </row>
    <row r="38" spans="1:5">
      <c r="A38" s="8" t="s">
        <v>61</v>
      </c>
      <c r="B38" s="9">
        <f>INT(B9 / B27)</f>
        <v>1710</v>
      </c>
      <c r="C38" s="8" t="s">
        <v>62</v>
      </c>
      <c r="D38" s="8" t="s">
        <v>63</v>
      </c>
      <c r="E38" s="8"/>
    </row>
    <row r="39" spans="1:5">
      <c r="A39" s="13" t="s">
        <v>64</v>
      </c>
      <c r="B39" s="14">
        <f>INT(B38 * B33)</f>
        <v>6840</v>
      </c>
      <c r="C39" s="8" t="s">
        <v>62</v>
      </c>
      <c r="D39" s="8" t="s">
        <v>65</v>
      </c>
      <c r="E39" s="8"/>
    </row>
    <row r="40" spans="1:5">
      <c r="A40" s="8"/>
      <c r="B40" s="9"/>
      <c r="C40" s="8"/>
      <c r="D40" s="8"/>
      <c r="E40" s="8"/>
    </row>
    <row r="41" spans="1:5">
      <c r="A41" s="13" t="s">
        <v>66</v>
      </c>
      <c r="B41" s="9"/>
      <c r="C41" s="8"/>
      <c r="D41" s="8"/>
      <c r="E41" s="8"/>
    </row>
    <row r="42" spans="1:5">
      <c r="A42" s="8" t="s">
        <v>67</v>
      </c>
      <c r="B42" s="9">
        <f>INT(B38*1.5)</f>
        <v>2565</v>
      </c>
      <c r="C42" s="8" t="s">
        <v>62</v>
      </c>
      <c r="D42" s="8" t="s">
        <v>68</v>
      </c>
      <c r="E42" s="8"/>
    </row>
    <row r="43" spans="1:5">
      <c r="A43" s="13" t="s">
        <v>64</v>
      </c>
      <c r="B43" s="14">
        <f>INT(B42*B33)</f>
        <v>10260</v>
      </c>
      <c r="C43" s="8" t="s">
        <v>62</v>
      </c>
      <c r="D43" s="8" t="s">
        <v>69</v>
      </c>
      <c r="E43" s="8"/>
    </row>
    <row r="44" spans="1:5">
      <c r="A44" s="8"/>
      <c r="B44" s="9"/>
      <c r="C44" s="8"/>
      <c r="D44" s="8"/>
      <c r="E44" s="8"/>
    </row>
    <row r="45" spans="1:5" ht="23.25" customHeight="1">
      <c r="A45" s="13" t="s">
        <v>70</v>
      </c>
      <c r="B45" s="14">
        <f>IF(B36="Double",B43,B39)</f>
        <v>6840</v>
      </c>
      <c r="C45" s="8" t="s">
        <v>62</v>
      </c>
      <c r="D45" s="8" t="s">
        <v>71</v>
      </c>
      <c r="E45" s="8"/>
    </row>
    <row r="46" spans="1:5">
      <c r="A46" s="8"/>
      <c r="B46" s="9"/>
      <c r="C46" s="8"/>
      <c r="D46" s="8"/>
      <c r="E46" s="8"/>
    </row>
    <row r="47" spans="1:5" ht="24" customHeight="1">
      <c r="A47" s="10" t="s">
        <v>72</v>
      </c>
      <c r="B47" s="9"/>
      <c r="C47" s="8"/>
      <c r="D47" s="8"/>
      <c r="E47" s="8"/>
    </row>
    <row r="48" spans="1:5">
      <c r="A48" s="8"/>
      <c r="B48" s="9"/>
      <c r="C48" s="8"/>
      <c r="D48" s="8"/>
      <c r="E48" s="8"/>
    </row>
    <row r="49" spans="1:5">
      <c r="A49" s="13" t="s">
        <v>73</v>
      </c>
      <c r="B49" s="14" t="s">
        <v>74</v>
      </c>
      <c r="C49" s="13" t="s">
        <v>75</v>
      </c>
      <c r="D49" s="13" t="s">
        <v>76</v>
      </c>
      <c r="E49" s="13" t="s">
        <v>10</v>
      </c>
    </row>
    <row r="50" spans="1:5">
      <c r="A50" s="8" t="s">
        <v>77</v>
      </c>
      <c r="B50" s="9">
        <v>2000</v>
      </c>
      <c r="C50" s="9">
        <f>INT(B$27 * B$33)</f>
        <v>53</v>
      </c>
      <c r="D50" s="9">
        <f>B50*C50</f>
        <v>106000</v>
      </c>
      <c r="E50" s="8" t="s">
        <v>78</v>
      </c>
    </row>
    <row r="51" spans="1:5">
      <c r="A51" s="8" t="s">
        <v>79</v>
      </c>
      <c r="B51" s="9">
        <v>1000</v>
      </c>
      <c r="C51" s="9">
        <f t="shared" ref="C51:C53" si="0">INT(B$27 * B$33)</f>
        <v>53</v>
      </c>
      <c r="D51" s="9">
        <f t="shared" ref="D51:D53" si="1">B51*C51</f>
        <v>53000</v>
      </c>
      <c r="E51" s="8" t="s">
        <v>80</v>
      </c>
    </row>
    <row r="52" spans="1:5">
      <c r="A52" s="8" t="s">
        <v>81</v>
      </c>
      <c r="B52" s="9">
        <v>500</v>
      </c>
      <c r="C52" s="9">
        <f t="shared" si="0"/>
        <v>53</v>
      </c>
      <c r="D52" s="9">
        <f t="shared" si="1"/>
        <v>26500</v>
      </c>
      <c r="E52" s="8" t="s">
        <v>82</v>
      </c>
    </row>
    <row r="53" spans="1:5">
      <c r="A53" s="8" t="s">
        <v>83</v>
      </c>
      <c r="B53" s="9">
        <v>295</v>
      </c>
      <c r="C53" s="9">
        <f t="shared" si="0"/>
        <v>53</v>
      </c>
      <c r="D53" s="9">
        <f t="shared" si="1"/>
        <v>15635</v>
      </c>
      <c r="E53" s="8" t="s">
        <v>84</v>
      </c>
    </row>
    <row r="54" spans="1:5">
      <c r="A54" s="8" t="s">
        <v>85</v>
      </c>
      <c r="B54" s="9"/>
      <c r="C54" s="8"/>
      <c r="D54" s="8"/>
      <c r="E54" s="8"/>
    </row>
    <row r="55" spans="1:5">
      <c r="A55" s="13" t="s">
        <v>86</v>
      </c>
      <c r="B55" s="9"/>
      <c r="C55" s="13"/>
      <c r="D55" s="13" t="s">
        <v>87</v>
      </c>
      <c r="E55" s="8"/>
    </row>
    <row r="56" spans="1:5" ht="22.5" customHeight="1">
      <c r="A56" s="8"/>
      <c r="B56" s="9"/>
      <c r="C56" s="8"/>
      <c r="D56" s="14">
        <f>D50 + D51 + D52 + D53</f>
        <v>201135</v>
      </c>
      <c r="E56" s="8"/>
    </row>
    <row r="57" spans="1:5" ht="20.25" customHeight="1">
      <c r="A57" s="10" t="s">
        <v>88</v>
      </c>
      <c r="B57" s="9"/>
      <c r="C57" s="8"/>
      <c r="D57" s="8"/>
      <c r="E57" s="8"/>
    </row>
    <row r="58" spans="1:5">
      <c r="A58" s="8"/>
      <c r="B58" s="9"/>
      <c r="C58" s="8"/>
      <c r="D58" s="8"/>
      <c r="E58" s="8"/>
    </row>
    <row r="59" spans="1:5">
      <c r="A59" s="8" t="s">
        <v>89</v>
      </c>
      <c r="B59" s="14">
        <f>INT(D56)</f>
        <v>201135</v>
      </c>
      <c r="C59" s="8" t="s">
        <v>36</v>
      </c>
      <c r="D59" s="8"/>
      <c r="E59" s="8"/>
    </row>
    <row r="60" spans="1:5" ht="22.5" customHeight="1">
      <c r="A60" s="8" t="s">
        <v>90</v>
      </c>
      <c r="B60" s="14">
        <f>B21</f>
        <v>316400</v>
      </c>
      <c r="C60" s="8" t="s">
        <v>36</v>
      </c>
      <c r="D60" s="8"/>
      <c r="E60" s="8"/>
    </row>
    <row r="61" spans="1:5" ht="22.5" customHeight="1">
      <c r="A61" s="13" t="s">
        <v>91</v>
      </c>
      <c r="B61" s="23">
        <f>(B59/B60) * 100</f>
        <v>63.569848293299621</v>
      </c>
      <c r="C61" s="13" t="s">
        <v>92</v>
      </c>
      <c r="D61" s="13" t="s">
        <v>93</v>
      </c>
      <c r="E61" s="8"/>
    </row>
    <row r="62" spans="1:5">
      <c r="A62" s="8"/>
      <c r="B62" s="9"/>
      <c r="C62" s="8"/>
      <c r="D62" s="8"/>
      <c r="E62" s="8"/>
    </row>
    <row r="63" spans="1:5">
      <c r="A63" s="13" t="s">
        <v>94</v>
      </c>
      <c r="B63" s="9"/>
      <c r="C63" s="8"/>
      <c r="D63" s="8"/>
      <c r="E63" s="8"/>
    </row>
    <row r="64" spans="1:5" ht="15.75">
      <c r="A64" s="13" t="s">
        <v>95</v>
      </c>
      <c r="B64" s="19" t="s">
        <v>96</v>
      </c>
      <c r="C64" s="8"/>
      <c r="D64" s="8"/>
      <c r="E64" s="8"/>
    </row>
    <row r="65" spans="1:5">
      <c r="A65" s="13" t="s">
        <v>97</v>
      </c>
      <c r="B65" s="20" t="s">
        <v>98</v>
      </c>
      <c r="C65" s="8"/>
      <c r="D65" s="8"/>
      <c r="E65" s="8" t="s">
        <v>99</v>
      </c>
    </row>
    <row r="66" spans="1:5">
      <c r="A66" s="13" t="s">
        <v>100</v>
      </c>
      <c r="B66" s="21" t="s">
        <v>101</v>
      </c>
      <c r="C66" s="8"/>
      <c r="D66" s="8"/>
      <c r="E66" s="8" t="s">
        <v>102</v>
      </c>
    </row>
    <row r="67" spans="1:5">
      <c r="A67" s="13" t="s">
        <v>103</v>
      </c>
      <c r="B67" s="22" t="s">
        <v>104</v>
      </c>
      <c r="C67" s="8"/>
      <c r="D67" s="8"/>
      <c r="E67" s="8" t="s">
        <v>105</v>
      </c>
    </row>
    <row r="68" spans="1:5">
      <c r="A68" s="8"/>
      <c r="B68" s="9"/>
      <c r="C68" s="8"/>
      <c r="D68" s="8"/>
      <c r="E68" s="8"/>
    </row>
    <row r="69" spans="1:5">
      <c r="A69" s="13" t="s">
        <v>106</v>
      </c>
      <c r="B69" s="14" t="str">
        <f>IF(B61&lt;40,"Low Utilization - Under-capacity",IF(B61&lt;50,"Good - Room to grow",IF(B61&lt;70,"OPTIMAL - Target range","High - Monitor congestion")))</f>
        <v>OPTIMAL - Target range</v>
      </c>
      <c r="C69" s="8"/>
      <c r="D69" s="8"/>
      <c r="E69" s="8"/>
    </row>
    <row r="70" spans="1:5">
      <c r="A70" s="8"/>
      <c r="B70" s="9"/>
      <c r="C70" s="8"/>
      <c r="D70" s="8"/>
      <c r="E70" s="8"/>
    </row>
    <row r="71" spans="1:5">
      <c r="A71" s="13" t="s">
        <v>107</v>
      </c>
      <c r="B71" s="9"/>
      <c r="C71" s="8"/>
      <c r="D71" s="8"/>
      <c r="E71" s="8"/>
    </row>
    <row r="72" spans="1:5" ht="45.75">
      <c r="A72" s="8" t="s">
        <v>108</v>
      </c>
      <c r="B72" s="9">
        <f>SUM(B50:B53)</f>
        <v>3795</v>
      </c>
      <c r="C72" s="8" t="s">
        <v>109</v>
      </c>
      <c r="D72" s="31" t="s">
        <v>110</v>
      </c>
      <c r="E72" s="8"/>
    </row>
    <row r="73" spans="1:5" ht="30.75">
      <c r="A73" s="8" t="s">
        <v>111</v>
      </c>
      <c r="B73" s="9">
        <f>B39</f>
        <v>6840</v>
      </c>
      <c r="C73" s="8" t="s">
        <v>62</v>
      </c>
      <c r="D73" s="31" t="s">
        <v>112</v>
      </c>
      <c r="E73" s="8"/>
    </row>
    <row r="74" spans="1:5">
      <c r="A74" s="8" t="s">
        <v>113</v>
      </c>
      <c r="B74" s="9">
        <f>B73-B72</f>
        <v>3045</v>
      </c>
      <c r="C74" s="8" t="s">
        <v>62</v>
      </c>
      <c r="D74" s="13" t="s">
        <v>114</v>
      </c>
      <c r="E74" s="8"/>
    </row>
    <row r="75" spans="1:5" ht="30.75">
      <c r="A75" s="13" t="s">
        <v>115</v>
      </c>
      <c r="B75" s="14">
        <f>ROUND((B72/B73)*100,2)</f>
        <v>55.48</v>
      </c>
      <c r="C75" s="8" t="s">
        <v>92</v>
      </c>
      <c r="D75" s="31" t="s">
        <v>116</v>
      </c>
      <c r="E75" s="8"/>
    </row>
    <row r="76" spans="1:5">
      <c r="A76" s="8"/>
      <c r="B76" s="9"/>
      <c r="C76" s="8"/>
      <c r="D76" s="8"/>
      <c r="E76" s="8"/>
    </row>
    <row r="77" spans="1:5" ht="21" customHeight="1">
      <c r="A77" s="13" t="s">
        <v>94</v>
      </c>
      <c r="B77" s="9"/>
      <c r="C77" s="8"/>
      <c r="D77" s="8"/>
      <c r="E77" s="8"/>
    </row>
    <row r="78" spans="1:5">
      <c r="A78" s="13" t="s">
        <v>117</v>
      </c>
      <c r="B78" s="32" t="s">
        <v>118</v>
      </c>
      <c r="C78" s="8"/>
      <c r="D78" s="8"/>
      <c r="E78" s="8"/>
    </row>
    <row r="79" spans="1:5">
      <c r="A79" s="13" t="s">
        <v>119</v>
      </c>
      <c r="B79" s="33" t="s">
        <v>120</v>
      </c>
      <c r="C79" s="8"/>
      <c r="D79" s="8"/>
      <c r="E79" s="8"/>
    </row>
    <row r="80" spans="1:5">
      <c r="A80" s="13" t="s">
        <v>121</v>
      </c>
      <c r="B80" s="34" t="s">
        <v>122</v>
      </c>
      <c r="C80" s="8"/>
      <c r="D80" s="8"/>
      <c r="E80" s="8"/>
    </row>
    <row r="81" spans="1:5">
      <c r="A81" s="8"/>
      <c r="B81" s="9"/>
      <c r="C81" s="8"/>
      <c r="D81" s="8"/>
      <c r="E81" s="8"/>
    </row>
    <row r="82" spans="1:5">
      <c r="A82" s="8"/>
      <c r="B82" s="9"/>
      <c r="C82" s="8"/>
      <c r="D82" s="8"/>
      <c r="E82" s="8"/>
    </row>
    <row r="83" spans="1:5">
      <c r="A83" s="8"/>
      <c r="B83" s="9"/>
      <c r="C83" s="8"/>
      <c r="D83" s="8"/>
      <c r="E83" s="8"/>
    </row>
    <row r="84" spans="1:5">
      <c r="A84" s="8"/>
      <c r="B84" s="9"/>
      <c r="C84" s="8"/>
      <c r="D84" s="8"/>
      <c r="E84" s="8"/>
    </row>
    <row r="85" spans="1:5">
      <c r="A85" s="8"/>
      <c r="B85" s="9"/>
      <c r="C85" s="8"/>
      <c r="D85" s="8"/>
      <c r="E85" s="8"/>
    </row>
    <row r="86" spans="1:5">
      <c r="A86" s="8"/>
      <c r="B86" s="9"/>
      <c r="C86" s="8"/>
      <c r="D86" s="8"/>
      <c r="E86" s="8"/>
    </row>
    <row r="87" spans="1:5">
      <c r="A87" s="8"/>
      <c r="B87" s="9"/>
      <c r="C87" s="8"/>
      <c r="D87" s="8"/>
      <c r="E87" s="8"/>
    </row>
    <row r="88" spans="1:5">
      <c r="A88" s="8"/>
      <c r="B88" s="9"/>
      <c r="C88" s="8"/>
      <c r="D88" s="8"/>
      <c r="E88" s="8"/>
    </row>
    <row r="89" spans="1:5">
      <c r="A89" s="8"/>
      <c r="B89" s="9"/>
      <c r="C89" s="8"/>
      <c r="D89" s="8"/>
      <c r="E89" s="8"/>
    </row>
    <row r="90" spans="1:5">
      <c r="A90" s="8"/>
      <c r="B90" s="9"/>
      <c r="C90" s="8"/>
      <c r="D90" s="8"/>
      <c r="E90" s="8"/>
    </row>
    <row r="91" spans="1:5">
      <c r="A91" s="8"/>
      <c r="B91" s="9"/>
      <c r="C91" s="8"/>
      <c r="D91" s="8"/>
      <c r="E91" s="8"/>
    </row>
    <row r="92" spans="1:5">
      <c r="A92" s="8"/>
      <c r="B92" s="9"/>
      <c r="C92" s="8"/>
      <c r="D92" s="8"/>
      <c r="E92" s="8"/>
    </row>
    <row r="93" spans="1:5">
      <c r="A93" s="8"/>
      <c r="B93" s="9"/>
      <c r="C93" s="8"/>
      <c r="D93" s="8"/>
      <c r="E93" s="8"/>
    </row>
    <row r="94" spans="1:5">
      <c r="A94" s="8"/>
      <c r="B94" s="9"/>
      <c r="C94" s="8"/>
      <c r="D94" s="8"/>
      <c r="E94" s="8"/>
    </row>
    <row r="95" spans="1:5">
      <c r="A95" s="8"/>
      <c r="B95" s="9"/>
      <c r="C95" s="8"/>
      <c r="D95" s="8"/>
      <c r="E95" s="8"/>
    </row>
    <row r="96" spans="1:5">
      <c r="A96" s="8"/>
      <c r="B96" s="9"/>
      <c r="C96" s="8"/>
      <c r="D96" s="8"/>
      <c r="E96" s="8"/>
    </row>
    <row r="97" spans="1:5">
      <c r="A97" s="8"/>
      <c r="B97" s="9"/>
      <c r="C97" s="8"/>
      <c r="D97" s="8"/>
      <c r="E97" s="8"/>
    </row>
    <row r="98" spans="1:5">
      <c r="A98" s="8"/>
      <c r="B98" s="9"/>
      <c r="C98" s="8"/>
      <c r="D98" s="8"/>
      <c r="E98" s="8"/>
    </row>
  </sheetData>
  <conditionalFormatting sqref="B61">
    <cfRule type="cellIs" dxfId="18" priority="7" operator="lessThan">
      <formula>40</formula>
    </cfRule>
  </conditionalFormatting>
  <conditionalFormatting sqref="B61">
    <cfRule type="cellIs" dxfId="17" priority="6" operator="between">
      <formula>40</formula>
      <formula>50</formula>
    </cfRule>
  </conditionalFormatting>
  <conditionalFormatting sqref="B61">
    <cfRule type="cellIs" dxfId="16" priority="5" operator="between">
      <formula>50</formula>
      <formula>70</formula>
    </cfRule>
  </conditionalFormatting>
  <conditionalFormatting sqref="B61">
    <cfRule type="cellIs" dxfId="15" priority="4" operator="greaterThan">
      <formula>70</formula>
    </cfRule>
  </conditionalFormatting>
  <conditionalFormatting sqref="B75">
    <cfRule type="cellIs" dxfId="14" priority="3" operator="lessThanOrEqual">
      <formula>75</formula>
    </cfRule>
  </conditionalFormatting>
  <conditionalFormatting sqref="B75">
    <cfRule type="cellIs" dxfId="13" priority="2" operator="between">
      <formula>76</formula>
      <formula>90</formula>
    </cfRule>
  </conditionalFormatting>
  <conditionalFormatting sqref="B75">
    <cfRule type="cellIs" dxfId="12" priority="1" operator="greaterThan">
      <formula>90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D548-71F3-490B-9D69-F6DF57910CD6}">
  <dimension ref="A1:B13"/>
  <sheetViews>
    <sheetView showGridLines="0" tabSelected="1" workbookViewId="0"/>
  </sheetViews>
  <sheetFormatPr defaultRowHeight="15"/>
  <cols>
    <col min="1" max="1" width="48.28515625" customWidth="1"/>
    <col min="2" max="2" width="30.140625" customWidth="1"/>
  </cols>
  <sheetData>
    <row r="1" spans="1:2" s="40" customFormat="1" ht="65.25" customHeight="1">
      <c r="A1" s="42" t="s">
        <v>123</v>
      </c>
    </row>
    <row r="2" spans="1:2">
      <c r="A2" s="27"/>
    </row>
    <row r="3" spans="1:2" ht="23.25">
      <c r="B3" s="37" t="s">
        <v>124</v>
      </c>
    </row>
    <row r="4" spans="1:2" ht="21">
      <c r="B4" s="39">
        <f>Calculations!B61</f>
        <v>63.569848293299621</v>
      </c>
    </row>
    <row r="5" spans="1:2">
      <c r="A5" s="41"/>
      <c r="B5" s="35"/>
    </row>
    <row r="6" spans="1:2">
      <c r="B6" s="35"/>
    </row>
    <row r="7" spans="1:2" ht="23.25">
      <c r="B7" s="37" t="s">
        <v>125</v>
      </c>
    </row>
    <row r="8" spans="1:2" ht="18.75">
      <c r="B8" s="38" t="str">
        <f>Calculations!B69</f>
        <v>OPTIMAL - Target range</v>
      </c>
    </row>
    <row r="10" spans="1:2">
      <c r="B10" s="36"/>
    </row>
    <row r="11" spans="1:2">
      <c r="B11" s="36"/>
    </row>
    <row r="12" spans="1:2">
      <c r="B12" s="36"/>
    </row>
    <row r="13" spans="1:2">
      <c r="B13" s="36"/>
    </row>
  </sheetData>
  <conditionalFormatting sqref="B8">
    <cfRule type="expression" dxfId="5" priority="6">
      <formula>B4 &gt; 85</formula>
    </cfRule>
  </conditionalFormatting>
  <conditionalFormatting sqref="B8">
    <cfRule type="expression" dxfId="4" priority="5">
      <formula>AND(B4 &gt;= 60, B4 &lt;= 85)</formula>
    </cfRule>
  </conditionalFormatting>
  <conditionalFormatting sqref="B4">
    <cfRule type="cellIs" dxfId="3" priority="4" operator="greaterThan">
      <formula>70</formula>
    </cfRule>
  </conditionalFormatting>
  <conditionalFormatting sqref="B4">
    <cfRule type="cellIs" dxfId="2" priority="3" operator="between">
      <formula>50</formula>
      <formula>70</formula>
    </cfRule>
  </conditionalFormatting>
  <conditionalFormatting sqref="B4">
    <cfRule type="cellIs" dxfId="1" priority="2" operator="between">
      <formula>40</formula>
      <formula>50</formula>
    </cfRule>
  </conditionalFormatting>
  <conditionalFormatting sqref="B4">
    <cfRule type="cellIs" dxfId="0" priority="1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workbookViewId="0">
      <selection activeCell="A11" sqref="A11"/>
    </sheetView>
  </sheetViews>
  <sheetFormatPr defaultColWidth="8.5703125" defaultRowHeight="15"/>
  <cols>
    <col min="1" max="1" width="40.42578125" customWidth="1"/>
    <col min="2" max="2" width="33.85546875" customWidth="1"/>
    <col min="3" max="3" width="17.7109375" customWidth="1"/>
    <col min="4" max="4" width="20.7109375" customWidth="1"/>
    <col min="5" max="5" width="19.7109375" customWidth="1"/>
    <col min="6" max="7" width="16.7109375" customWidth="1"/>
  </cols>
  <sheetData>
    <row r="1" spans="1:7" ht="39.75" customHeight="1">
      <c r="A1" s="26" t="s">
        <v>126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127</v>
      </c>
      <c r="G1" s="2" t="s">
        <v>128</v>
      </c>
    </row>
    <row r="2" spans="1:7">
      <c r="A2" t="s">
        <v>129</v>
      </c>
      <c r="B2" t="s">
        <v>130</v>
      </c>
      <c r="C2" t="s">
        <v>74</v>
      </c>
      <c r="D2" t="s">
        <v>131</v>
      </c>
      <c r="E2" t="s">
        <v>132</v>
      </c>
      <c r="F2" t="s">
        <v>133</v>
      </c>
      <c r="G2" t="s">
        <v>10</v>
      </c>
    </row>
    <row r="3" spans="1:7">
      <c r="A3" t="s">
        <v>134</v>
      </c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</row>
    <row r="4" spans="1:7">
      <c r="A4" t="s">
        <v>141</v>
      </c>
      <c r="B4" t="s">
        <v>142</v>
      </c>
      <c r="C4" t="s">
        <v>143</v>
      </c>
      <c r="D4" t="s">
        <v>144</v>
      </c>
      <c r="E4" t="s">
        <v>145</v>
      </c>
      <c r="F4" t="s">
        <v>139</v>
      </c>
      <c r="G4" t="s">
        <v>146</v>
      </c>
    </row>
    <row r="5" spans="1:7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</row>
    <row r="6" spans="1:7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152</v>
      </c>
      <c r="G6" t="s">
        <v>159</v>
      </c>
    </row>
    <row r="7" spans="1:7">
      <c r="A7" t="s">
        <v>160</v>
      </c>
      <c r="B7" t="s">
        <v>161</v>
      </c>
      <c r="C7" t="s">
        <v>157</v>
      </c>
      <c r="D7" t="s">
        <v>162</v>
      </c>
      <c r="E7" t="s">
        <v>163</v>
      </c>
      <c r="F7" t="s">
        <v>164</v>
      </c>
      <c r="G7" t="s">
        <v>82</v>
      </c>
    </row>
    <row r="8" spans="1:7">
      <c r="A8" t="s">
        <v>165</v>
      </c>
      <c r="B8" t="s">
        <v>166</v>
      </c>
      <c r="C8" t="s">
        <v>167</v>
      </c>
      <c r="D8" t="s">
        <v>168</v>
      </c>
      <c r="E8" t="s">
        <v>169</v>
      </c>
      <c r="F8" t="s">
        <v>164</v>
      </c>
      <c r="G8" t="s">
        <v>170</v>
      </c>
    </row>
    <row r="9" spans="1:7">
      <c r="A9" t="s">
        <v>171</v>
      </c>
      <c r="B9" t="s">
        <v>172</v>
      </c>
      <c r="C9" t="s">
        <v>173</v>
      </c>
      <c r="E9" t="s">
        <v>138</v>
      </c>
      <c r="F9" t="s">
        <v>174</v>
      </c>
      <c r="G9" t="s">
        <v>175</v>
      </c>
    </row>
    <row r="11" spans="1:7">
      <c r="A11" s="27" t="s">
        <v>176</v>
      </c>
    </row>
    <row r="12" spans="1:7">
      <c r="A12" t="s">
        <v>177</v>
      </c>
    </row>
    <row r="13" spans="1:7">
      <c r="A13" t="s">
        <v>178</v>
      </c>
    </row>
    <row r="14" spans="1:7">
      <c r="A14" t="s">
        <v>179</v>
      </c>
    </row>
    <row r="15" spans="1:7">
      <c r="A15" t="s">
        <v>180</v>
      </c>
    </row>
    <row r="16" spans="1:7">
      <c r="A16" t="s">
        <v>181</v>
      </c>
    </row>
    <row r="17" spans="1:1">
      <c r="A17" t="s">
        <v>182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showGridLines="0" workbookViewId="0"/>
  </sheetViews>
  <sheetFormatPr defaultColWidth="8.5703125" defaultRowHeight="15"/>
  <cols>
    <col min="1" max="1" width="56.85546875" customWidth="1"/>
    <col min="2" max="2" width="50.7109375" customWidth="1"/>
    <col min="3" max="3" width="32.7109375" customWidth="1"/>
  </cols>
  <sheetData>
    <row r="1" spans="1:3" ht="55.5" customHeight="1">
      <c r="A1" s="28" t="s">
        <v>183</v>
      </c>
    </row>
    <row r="3" spans="1:3">
      <c r="A3" t="s">
        <v>184</v>
      </c>
      <c r="B3" t="s">
        <v>185</v>
      </c>
      <c r="C3" t="s">
        <v>186</v>
      </c>
    </row>
    <row r="5" spans="1:3">
      <c r="A5" t="s">
        <v>187</v>
      </c>
      <c r="B5" t="s">
        <v>188</v>
      </c>
      <c r="C5" t="s">
        <v>189</v>
      </c>
    </row>
    <row r="6" spans="1:3">
      <c r="B6" t="s">
        <v>190</v>
      </c>
      <c r="C6" t="s">
        <v>191</v>
      </c>
    </row>
    <row r="7" spans="1:3">
      <c r="B7" t="s">
        <v>192</v>
      </c>
      <c r="C7" t="s">
        <v>193</v>
      </c>
    </row>
    <row r="8" spans="1:3">
      <c r="B8" t="s">
        <v>194</v>
      </c>
      <c r="C8" t="s">
        <v>195</v>
      </c>
    </row>
    <row r="10" spans="1:3">
      <c r="A10" t="s">
        <v>196</v>
      </c>
      <c r="B10" t="s">
        <v>197</v>
      </c>
      <c r="C10" t="s">
        <v>198</v>
      </c>
    </row>
    <row r="11" spans="1:3">
      <c r="B11" t="s">
        <v>199</v>
      </c>
      <c r="C11" t="s">
        <v>200</v>
      </c>
    </row>
    <row r="12" spans="1:3">
      <c r="B12" t="s">
        <v>201</v>
      </c>
      <c r="C12" t="s">
        <v>202</v>
      </c>
    </row>
    <row r="13" spans="1:3">
      <c r="B13" t="s">
        <v>203</v>
      </c>
      <c r="C13" t="s">
        <v>204</v>
      </c>
    </row>
    <row r="15" spans="1:3">
      <c r="A15" t="s">
        <v>205</v>
      </c>
      <c r="B15" t="s">
        <v>206</v>
      </c>
      <c r="C15" t="s">
        <v>207</v>
      </c>
    </row>
    <row r="16" spans="1:3">
      <c r="B16" t="s">
        <v>208</v>
      </c>
      <c r="C16" t="s">
        <v>209</v>
      </c>
    </row>
    <row r="17" spans="1:3">
      <c r="B17" t="s">
        <v>210</v>
      </c>
      <c r="C17" t="s">
        <v>211</v>
      </c>
    </row>
    <row r="18" spans="1:3">
      <c r="B18" t="s">
        <v>212</v>
      </c>
      <c r="C18" t="s">
        <v>213</v>
      </c>
    </row>
    <row r="20" spans="1:3">
      <c r="A20" t="s">
        <v>214</v>
      </c>
      <c r="B20" t="s">
        <v>215</v>
      </c>
      <c r="C20" t="s">
        <v>216</v>
      </c>
    </row>
    <row r="21" spans="1:3">
      <c r="B21" t="s">
        <v>217</v>
      </c>
      <c r="C21" t="s">
        <v>218</v>
      </c>
    </row>
    <row r="22" spans="1:3">
      <c r="B22" t="s">
        <v>219</v>
      </c>
      <c r="C22" t="s">
        <v>220</v>
      </c>
    </row>
    <row r="24" spans="1:3">
      <c r="A24" t="s">
        <v>221</v>
      </c>
      <c r="B24" t="s">
        <v>222</v>
      </c>
      <c r="C24" t="s">
        <v>223</v>
      </c>
    </row>
    <row r="25" spans="1:3">
      <c r="B25" t="s">
        <v>224</v>
      </c>
      <c r="C25" t="s">
        <v>225</v>
      </c>
    </row>
    <row r="26" spans="1:3">
      <c r="B26" t="s">
        <v>226</v>
      </c>
      <c r="C26" t="s">
        <v>227</v>
      </c>
    </row>
    <row r="28" spans="1:3">
      <c r="A28" t="s">
        <v>228</v>
      </c>
    </row>
    <row r="29" spans="1:3">
      <c r="A29" t="s">
        <v>229</v>
      </c>
      <c r="B29" t="s">
        <v>230</v>
      </c>
      <c r="C29" t="s">
        <v>231</v>
      </c>
    </row>
    <row r="30" spans="1:3">
      <c r="A30" t="s">
        <v>232</v>
      </c>
      <c r="B30" t="s">
        <v>233</v>
      </c>
      <c r="C30" t="s">
        <v>234</v>
      </c>
    </row>
    <row r="31" spans="1:3">
      <c r="A31" t="s">
        <v>235</v>
      </c>
      <c r="B31" t="s">
        <v>236</v>
      </c>
      <c r="C31" t="s">
        <v>237</v>
      </c>
    </row>
    <row r="32" spans="1:3">
      <c r="A32" t="s">
        <v>238</v>
      </c>
      <c r="B32" t="s">
        <v>239</v>
      </c>
      <c r="C32" t="s">
        <v>240</v>
      </c>
    </row>
    <row r="33" spans="1:3">
      <c r="A33" t="s">
        <v>241</v>
      </c>
      <c r="B33" t="s">
        <v>242</v>
      </c>
      <c r="C33" t="s">
        <v>243</v>
      </c>
    </row>
    <row r="35" spans="1:3">
      <c r="A35" t="s">
        <v>244</v>
      </c>
    </row>
    <row r="36" spans="1:3">
      <c r="A36" t="s">
        <v>245</v>
      </c>
      <c r="B36" t="s">
        <v>246</v>
      </c>
    </row>
    <row r="37" spans="1:3">
      <c r="A37" t="s">
        <v>247</v>
      </c>
      <c r="B37" t="s">
        <v>248</v>
      </c>
    </row>
    <row r="38" spans="1:3">
      <c r="A38" t="s">
        <v>249</v>
      </c>
      <c r="B38" t="s">
        <v>250</v>
      </c>
    </row>
    <row r="39" spans="1:3">
      <c r="A39" t="s">
        <v>251</v>
      </c>
      <c r="B39" t="s">
        <v>252</v>
      </c>
    </row>
    <row r="40" spans="1:3">
      <c r="A40" t="s">
        <v>253</v>
      </c>
      <c r="B40" t="s">
        <v>254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selection activeCell="B13" sqref="B13"/>
    </sheetView>
  </sheetViews>
  <sheetFormatPr defaultColWidth="8.5703125" defaultRowHeight="15"/>
  <cols>
    <col min="1" max="1" width="24" bestFit="1" customWidth="1"/>
    <col min="2" max="2" width="30.7109375" bestFit="1" customWidth="1"/>
    <col min="3" max="6" width="11.140625" bestFit="1" customWidth="1"/>
  </cols>
  <sheetData>
    <row r="1" spans="1:6" ht="33" customHeight="1">
      <c r="A1" s="29" t="s">
        <v>255</v>
      </c>
    </row>
    <row r="3" spans="1:6">
      <c r="A3" t="s">
        <v>256</v>
      </c>
      <c r="B3" t="s">
        <v>257</v>
      </c>
      <c r="C3" t="s">
        <v>1</v>
      </c>
      <c r="D3" t="s">
        <v>3</v>
      </c>
      <c r="E3" t="s">
        <v>127</v>
      </c>
      <c r="F3" t="s">
        <v>4</v>
      </c>
    </row>
    <row r="4" spans="1:6">
      <c r="A4" t="s">
        <v>258</v>
      </c>
      <c r="B4" t="s">
        <v>259</v>
      </c>
    </row>
    <row r="5" spans="1:6">
      <c r="A5" t="s">
        <v>260</v>
      </c>
      <c r="B5" t="s">
        <v>261</v>
      </c>
    </row>
    <row r="6" spans="1:6">
      <c r="A6" t="s">
        <v>262</v>
      </c>
      <c r="B6" t="s">
        <v>263</v>
      </c>
    </row>
    <row r="7" spans="1:6">
      <c r="A7" t="s">
        <v>264</v>
      </c>
      <c r="B7" t="s">
        <v>265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C10" sqref="C10"/>
    </sheetView>
  </sheetViews>
  <sheetFormatPr defaultColWidth="8.5703125" defaultRowHeight="15"/>
  <cols>
    <col min="1" max="1" width="27" customWidth="1"/>
    <col min="2" max="2" width="17.28515625" customWidth="1"/>
  </cols>
  <sheetData>
    <row r="1" spans="1:2" ht="32.25" customHeight="1">
      <c r="A1" s="30" t="s">
        <v>266</v>
      </c>
    </row>
    <row r="3" spans="1:2">
      <c r="A3" t="s">
        <v>267</v>
      </c>
      <c r="B3" t="s">
        <v>268</v>
      </c>
    </row>
    <row r="4" spans="1:2">
      <c r="A4" t="s">
        <v>269</v>
      </c>
      <c r="B4">
        <v>0.75</v>
      </c>
    </row>
    <row r="5" spans="1:2">
      <c r="A5" t="s">
        <v>270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J12" sqref="J12"/>
    </sheetView>
  </sheetViews>
  <sheetFormatPr defaultColWidth="8.5703125" defaultRowHeight="15"/>
  <cols>
    <col min="1" max="1" width="21" customWidth="1"/>
    <col min="3" max="3" width="9.140625" bestFit="1" customWidth="1"/>
  </cols>
  <sheetData>
    <row r="1" spans="1:4" ht="15.75">
      <c r="A1" s="1" t="s">
        <v>271</v>
      </c>
    </row>
    <row r="3" spans="1:4">
      <c r="A3" t="s">
        <v>7</v>
      </c>
      <c r="B3" t="s">
        <v>272</v>
      </c>
      <c r="C3" t="s">
        <v>273</v>
      </c>
      <c r="D3" t="s">
        <v>274</v>
      </c>
    </row>
    <row r="4" spans="1:4">
      <c r="A4" t="s">
        <v>275</v>
      </c>
      <c r="B4" t="s">
        <v>276</v>
      </c>
      <c r="C4" t="s">
        <v>277</v>
      </c>
      <c r="D4" t="s">
        <v>278</v>
      </c>
    </row>
    <row r="5" spans="1:4">
      <c r="A5" t="s">
        <v>279</v>
      </c>
      <c r="B5" t="s">
        <v>117</v>
      </c>
      <c r="C5" t="s">
        <v>280</v>
      </c>
      <c r="D5" t="s">
        <v>281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2025-12-21T06:03:00Z</dcterms:created>
  <dcterms:modified xsi:type="dcterms:W3CDTF">2026-01-11T18:00:08Z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2057-11.1.0.9505</vt:lpwstr>
  </property>
</Properties>
</file>