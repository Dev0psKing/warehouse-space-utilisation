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Calculation" sheetId="1" state="visible" r:id="rId2"/>
    <sheet name="SKU Details" sheetId="2" state="visible" r:id="rId3"/>
    <sheet name="Optimization Tips" sheetId="3" state="visible" r:id="rId4"/>
    <sheet name="Model Assumptions" sheetId="4" state="visible" r:id="rId5"/>
    <sheet name="Capacity Factors" sheetId="5" state="visible" r:id="rId6"/>
    <sheet name="KPI Threshold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<sst xmlns="http://schemas.openxmlformats.org/spreadsheetml/2006/main" count="324" uniqueCount="278">
  <si>
    <t xml:space="preserve">WAREHOUSE SPACE UTILIZATION TRACKER</t>
  </si>
  <si>
    <t xml:space="preserve">Enter your warehouse details below and calculations auto-fill</t>
  </si>
  <si>
    <t xml:space="preserve">PHASE 1: WAREHOUSE MEASUREMENTS</t>
  </si>
  <si>
    <t xml:space="preserve">Metric</t>
  </si>
  <si>
    <t xml:space="preserve">Value</t>
  </si>
  <si>
    <t xml:space="preserve">Unit</t>
  </si>
  <si>
    <t xml:space="preserve">Notes</t>
  </si>
  <si>
    <t xml:space="preserve">Total floor length</t>
  </si>
  <si>
    <t xml:space="preserve">200</t>
  </si>
  <si>
    <t xml:space="preserve">feet</t>
  </si>
  <si>
    <t xml:space="preserve">Measure wall to wall</t>
  </si>
  <si>
    <t xml:space="preserve">Total floor width</t>
  </si>
  <si>
    <t xml:space="preserve">150</t>
  </si>
  <si>
    <t xml:space="preserve">Total floor area (length × width)</t>
  </si>
  <si>
    <t xml:space="preserve">sq ft</t>
  </si>
  <si>
    <t xml:space="preserve">Auto-calculated</t>
  </si>
  <si>
    <t xml:space="preserve">Non-storage areas</t>
  </si>
  <si>
    <t xml:space="preserve">Offices &amp; restrooms</t>
  </si>
  <si>
    <t xml:space="preserve">1500</t>
  </si>
  <si>
    <t xml:space="preserve">Include break rooms, storage rooms</t>
  </si>
  <si>
    <t xml:space="preserve">Docks (receiving &amp; shipping)</t>
  </si>
  <si>
    <t xml:space="preserve">2000</t>
  </si>
  <si>
    <t xml:space="preserve">Include dock buffers</t>
  </si>
  <si>
    <t xml:space="preserve">Main aisles (cross-traffic)</t>
  </si>
  <si>
    <t xml:space="preserve">2500</t>
  </si>
  <si>
    <t xml:space="preserve">Primary picking &amp; forklift routes</t>
  </si>
  <si>
    <t xml:space="preserve">Emergency exits &amp; safety zones</t>
  </si>
  <si>
    <t xml:space="preserve">800</t>
  </si>
  <si>
    <t xml:space="preserve">Required by law, cannot be used</t>
  </si>
  <si>
    <t xml:space="preserve">Other (specify)</t>
  </si>
  <si>
    <t xml:space="preserve">e.g., equipment maintenance area</t>
  </si>
  <si>
    <t xml:space="preserve">TOTAL non-storage area</t>
  </si>
  <si>
    <t xml:space="preserve">Sum of all non-storage</t>
  </si>
  <si>
    <t xml:space="preserve">Usable storage area (Total - Non-storage)</t>
  </si>
  <si>
    <t xml:space="preserve">This is your actual storage footprint</t>
  </si>
  <si>
    <t xml:space="preserve">Clear warehouse height</t>
  </si>
  <si>
    <t xml:space="preserve">22</t>
  </si>
  <si>
    <t xml:space="preserve">Floor to lowest obstruction (beams, lights)</t>
  </si>
  <si>
    <t xml:space="preserve">TOTAL USABLE CUBE (Storage Area × Height)</t>
  </si>
  <si>
    <t xml:space="preserve">cubic ft</t>
  </si>
  <si>
    <t xml:space="preserve">Your maximum storage capacity</t>
  </si>
  <si>
    <t xml:space="preserve">PHASE 2: PALLET RACKING CONFIGURATION</t>
  </si>
  <si>
    <t xml:space="preserve">Pallet dimensions (standard)</t>
  </si>
  <si>
    <t xml:space="preserve">48 x 40</t>
  </si>
  <si>
    <t xml:space="preserve">inches</t>
  </si>
  <si>
    <t xml:space="preserve">Adjust if using non-standard pallets</t>
  </si>
  <si>
    <t xml:space="preserve">Pallet footprint</t>
  </si>
  <si>
    <t xml:space="preserve">13.33</t>
  </si>
  <si>
    <t xml:space="preserve">Calculated (48×40)/144</t>
  </si>
  <si>
    <t xml:space="preserve">Average loaded pallet height</t>
  </si>
  <si>
    <t xml:space="preserve">60</t>
  </si>
  <si>
    <t xml:space="preserve">Adjust based on your typical load</t>
  </si>
  <si>
    <t xml:space="preserve">Per-level clearance (forklift/safety)</t>
  </si>
  <si>
    <t xml:space="preserve">12</t>
  </si>
  <si>
    <t xml:space="preserve">Recommended minimum</t>
  </si>
  <si>
    <t xml:space="preserve">Total height per level</t>
  </si>
  <si>
    <t xml:space="preserve">Pallet height + clearance</t>
  </si>
  <si>
    <t xml:space="preserve">Total height per level (in feet)</t>
  </si>
  <si>
    <t xml:space="preserve">Converted for calculation</t>
  </si>
  <si>
    <t xml:space="preserve">NUMBER OF RACK LEVELS</t>
  </si>
  <si>
    <t xml:space="preserve">levels</t>
  </si>
  <si>
    <t xml:space="preserve">Round down for safety</t>
  </si>
  <si>
    <t xml:space="preserve">RACKING TYPE SELECTION</t>
  </si>
  <si>
    <t xml:space="preserve">Which racking type? (Single or Double)</t>
  </si>
  <si>
    <t xml:space="preserve">Single</t>
  </si>
  <si>
    <t xml:space="preserve">Enter 'Single' or 'Double' below</t>
  </si>
  <si>
    <t xml:space="preserve">If SINGLE-DEEP racking:</t>
  </si>
  <si>
    <t xml:space="preserve">Pallets per level (single-deep)</t>
  </si>
  <si>
    <t xml:space="preserve">positions</t>
  </si>
  <si>
    <t xml:space="preserve">Usable area ÷ pallet footprint</t>
  </si>
  <si>
    <t xml:space="preserve">Total pallet positions (levels × per-level)</t>
  </si>
  <si>
    <t xml:space="preserve">Your total single-deep capacity</t>
  </si>
  <si>
    <t xml:space="preserve">If DOUBLE-DEEP racking:</t>
  </si>
  <si>
    <t xml:space="preserve">Pallets per level (double-deep approx)</t>
  </si>
  <si>
    <t xml:space="preserve">Single × 1.5 multiplier</t>
  </si>
  <si>
    <t xml:space="preserve">Your total double-deep capacity</t>
  </si>
  <si>
    <t xml:space="preserve">SELECTED RACKING CAPACITY</t>
  </si>
  <si>
    <t xml:space="preserve">Choose which applies to you</t>
  </si>
  <si>
    <t xml:space="preserve">PHASE 3: CURRENT INVENTORY CUBE</t>
  </si>
  <si>
    <t xml:space="preserve">SKU / Product Category</t>
  </si>
  <si>
    <t xml:space="preserve">Pallets on Hand</t>
  </si>
  <si>
    <t xml:space="preserve">Avg Cube per Pallet (ft³)</t>
  </si>
  <si>
    <t xml:space="preserve">Total Cube (Pallets × Avg)</t>
  </si>
  <si>
    <t xml:space="preserve">Fast Movers (high turnover)</t>
  </si>
  <si>
    <t xml:space="preserve">400</t>
  </si>
  <si>
    <t xml:space="preserve">3</t>
  </si>
  <si>
    <t xml:space="preserve">Quick-move items</t>
  </si>
  <si>
    <t xml:space="preserve">Mid-Range Sellers</t>
  </si>
  <si>
    <t xml:space="preserve">5</t>
  </si>
  <si>
    <t xml:space="preserve">Regular demand items</t>
  </si>
  <si>
    <t xml:space="preserve">Slow Movers (seasonal/niche)</t>
  </si>
  <si>
    <t xml:space="preserve">4</t>
  </si>
  <si>
    <t xml:space="preserve">Lower turnover</t>
  </si>
  <si>
    <t xml:space="preserve">Overstock (excess/safety stock)</t>
  </si>
  <si>
    <t xml:space="preserve">100</t>
  </si>
  <si>
    <t xml:space="preserve">3.5</t>
  </si>
  <si>
    <t xml:space="preserve">Items to manage down</t>
  </si>
  <si>
    <t xml:space="preserve">(Add more rows as needed)</t>
  </si>
  <si>
    <t xml:space="preserve">0</t>
  </si>
  <si>
    <t xml:space="preserve">TOTAL ACTUAL INVENTORY CUBE</t>
  </si>
  <si>
    <t xml:space="preserve">Sum of all inventory</t>
  </si>
  <si>
    <t xml:space="preserve">PHASE 4: SPACE UTILIZATION CALCULATION</t>
  </si>
  <si>
    <t xml:space="preserve">Actual inventory cube (from above)</t>
  </si>
  <si>
    <t xml:space="preserve">Usable warehouse cube (from Phase 1)</t>
  </si>
  <si>
    <t xml:space="preserve">SPACE UTILIZATION %</t>
  </si>
  <si>
    <t xml:space="preserve">%</t>
  </si>
  <si>
    <t xml:space="preserve">Formula: (Actual ÷ Usable) × 100</t>
  </si>
  <si>
    <t xml:space="preserve">UTILIZATION BENCHMARK</t>
  </si>
  <si>
    <t xml:space="preserve">40-50%</t>
  </si>
  <si>
    <t xml:space="preserve">Good utilization with maneuverability</t>
  </si>
  <si>
    <t xml:space="preserve">✓ Healthy range for operations</t>
  </si>
  <si>
    <t xml:space="preserve">50-70%</t>
  </si>
  <si>
    <t xml:space="preserve">Strong utilization (TARGET RANGE)</t>
  </si>
  <si>
    <t xml:space="preserve">✓ Optimal for most warehouses</t>
  </si>
  <si>
    <t xml:space="preserve">70%+</t>
  </si>
  <si>
    <t xml:space="preserve">High density / Congestion risk</t>
  </si>
  <si>
    <t xml:space="preserve">⚠ May impact picking speed &amp; safety</t>
  </si>
  <si>
    <t xml:space="preserve">YOUR STATUS</t>
  </si>
  <si>
    <t xml:space="preserve">QUICK NOTES FOR YOUR WAREHOUSE</t>
  </si>
  <si>
    <t xml:space="preserve">Current inventory pallets</t>
  </si>
  <si>
    <t xml:space="preserve">pallets</t>
  </si>
  <si>
    <t xml:space="preserve">Total pallets on hand</t>
  </si>
  <si>
    <t xml:space="preserve">Total capacity</t>
  </si>
  <si>
    <t xml:space="preserve">From racking calculation</t>
  </si>
  <si>
    <t xml:space="preserve">Pallet positions available (remaining)</t>
  </si>
  <si>
    <t xml:space="preserve">Spare capacity</t>
  </si>
  <si>
    <t xml:space="preserve">% of capacity used</t>
  </si>
  <si>
    <t xml:space="preserve">Pallet-based utilization check</t>
  </si>
  <si>
    <t xml:space="preserve">INVENTORY DETAIL TRACKER (Optional - for more SKUs)</t>
  </si>
  <si>
    <t xml:space="preserve">SKU Code</t>
  </si>
  <si>
    <t xml:space="preserve">Product Name</t>
  </si>
  <si>
    <t xml:space="preserve">Pallet Height (in)</t>
  </si>
  <si>
    <t xml:space="preserve">Pallet Cube (ft³)</t>
  </si>
  <si>
    <t xml:space="preserve">ABC Category</t>
  </si>
  <si>
    <t xml:space="preserve">SKU-001</t>
  </si>
  <si>
    <t xml:space="preserve">Product A</t>
  </si>
  <si>
    <t xml:space="preserve">48</t>
  </si>
  <si>
    <t xml:space="preserve">3.2</t>
  </si>
  <si>
    <t xml:space="preserve">A - Fast mover</t>
  </si>
  <si>
    <t xml:space="preserve">High priority</t>
  </si>
  <si>
    <t xml:space="preserve">SKU-002</t>
  </si>
  <si>
    <t xml:space="preserve">Product B</t>
  </si>
  <si>
    <t xml:space="preserve">5.0</t>
  </si>
  <si>
    <t xml:space="preserve">Core inventory</t>
  </si>
  <si>
    <t xml:space="preserve">SKU-003</t>
  </si>
  <si>
    <t xml:space="preserve">Product C</t>
  </si>
  <si>
    <t xml:space="preserve">45</t>
  </si>
  <si>
    <t xml:space="preserve">3.0</t>
  </si>
  <si>
    <t xml:space="preserve">B - Mid seller</t>
  </si>
  <si>
    <t xml:space="preserve">Regular demand</t>
  </si>
  <si>
    <t xml:space="preserve">SKU-004</t>
  </si>
  <si>
    <t xml:space="preserve">Product D</t>
  </si>
  <si>
    <t xml:space="preserve">75</t>
  </si>
  <si>
    <t xml:space="preserve">50</t>
  </si>
  <si>
    <t xml:space="preserve">3.3</t>
  </si>
  <si>
    <t xml:space="preserve">Seasonal</t>
  </si>
  <si>
    <t xml:space="preserve">SKU-005</t>
  </si>
  <si>
    <t xml:space="preserve">Product E</t>
  </si>
  <si>
    <t xml:space="preserve">36</t>
  </si>
  <si>
    <t xml:space="preserve">2.4</t>
  </si>
  <si>
    <t xml:space="preserve">C - Slow mover</t>
  </si>
  <si>
    <t xml:space="preserve">SKU-006</t>
  </si>
  <si>
    <t xml:space="preserve">Product F</t>
  </si>
  <si>
    <t xml:space="preserve">40</t>
  </si>
  <si>
    <t xml:space="preserve">55</t>
  </si>
  <si>
    <t xml:space="preserve">4.6</t>
  </si>
  <si>
    <t xml:space="preserve">Niche item</t>
  </si>
  <si>
    <t xml:space="preserve">SKU-007</t>
  </si>
  <si>
    <t xml:space="preserve">Overstock / Safety Stock</t>
  </si>
  <si>
    <t xml:space="preserve">85</t>
  </si>
  <si>
    <t xml:space="preserve">Overstock</t>
  </si>
  <si>
    <t xml:space="preserve">To manage down</t>
  </si>
  <si>
    <t xml:space="preserve">HOW TO USE THIS SHEET:</t>
  </si>
  <si>
    <t xml:space="preserve">1. List each major SKU/product</t>
  </si>
  <si>
    <t xml:space="preserve">2. Count or estimate pallets on hand</t>
  </si>
  <si>
    <t xml:space="preserve">3. Measure or estimate pallet height when stacked with load</t>
  </si>
  <si>
    <t xml:space="preserve">4. Calculate cube: (Pallet footprint 13.33 sq ft) × (Height in feet)</t>
  </si>
  <si>
    <t xml:space="preserve">5. Classify by ABC (A=fast, B=regular, C=slow) for slotting strategy</t>
  </si>
  <si>
    <t xml:space="preserve">6. Use totals in Main Calculation sheet for accuracy</t>
  </si>
  <si>
    <t xml:space="preserve">WAREHOUSE SPACE OPTIMIZATION QUICK-WIN CHECKLIST</t>
  </si>
  <si>
    <t xml:space="preserve">PROBLEM / OPPORTUNITY</t>
  </si>
  <si>
    <t xml:space="preserve">ACTION STEP</t>
  </si>
  <si>
    <t xml:space="preserve">Expected Benefit</t>
  </si>
  <si>
    <t xml:space="preserve">Low utilization (&lt;40%)</t>
  </si>
  <si>
    <t xml:space="preserve">1. Review slow-moving inventory (SKU C items)</t>
  </si>
  <si>
    <t xml:space="preserve">Free up 10-20% cube</t>
  </si>
  <si>
    <t xml:space="preserve">2. Consolidate pallets if safe (mix compatible SKUs)</t>
  </si>
  <si>
    <t xml:space="preserve">Reduce pallet count</t>
  </si>
  <si>
    <t xml:space="preserve">3. Return excess stock to vendor or clearance</t>
  </si>
  <si>
    <t xml:space="preserve">Right-size inventory</t>
  </si>
  <si>
    <t xml:space="preserve">4. Expand product mix or take on new customers</t>
  </si>
  <si>
    <t xml:space="preserve">Fill available space</t>
  </si>
  <si>
    <t xml:space="preserve">High utilization (&gt;70%) / Congestion</t>
  </si>
  <si>
    <t xml:space="preserve">1. Implement ABC slotting - move slow movers to back</t>
  </si>
  <si>
    <t xml:space="preserve">Faster picking routes</t>
  </si>
  <si>
    <t xml:space="preserve">2. Use vertical space: add mezzanine or taller racking</t>
  </si>
  <si>
    <t xml:space="preserve">Increase capacity 20-40%</t>
  </si>
  <si>
    <t xml:space="preserve">3. Improve picking process: batch picks, reduce travel time</t>
  </si>
  <si>
    <t xml:space="preserve">Handle same volume faster</t>
  </si>
  <si>
    <t xml:space="preserve">4. Offload seasonal/overstock to 3PL partner</t>
  </si>
  <si>
    <t xml:space="preserve">Reduce footprint</t>
  </si>
  <si>
    <t xml:space="preserve">Picking is slow despite decent utilization</t>
  </si>
  <si>
    <t xml:space="preserve">1. Review current slotting - are fast movers near dispatch?</t>
  </si>
  <si>
    <t xml:space="preserve">Reduce travel time 15-30%</t>
  </si>
  <si>
    <t xml:space="preserve">2. Optimize bin locations (lower levels = faster picks)</t>
  </si>
  <si>
    <t xml:space="preserve">Ergonomics &amp; speed</t>
  </si>
  <si>
    <t xml:space="preserve">3. Implement pick-to-light or put-wall system</t>
  </si>
  <si>
    <t xml:space="preserve">Accuracy + speed boost</t>
  </si>
  <si>
    <t xml:space="preserve">4. Reduce aisle clutter, ensure clear pathways</t>
  </si>
  <si>
    <t xml:space="preserve">Safety + efficiency</t>
  </si>
  <si>
    <t xml:space="preserve">Forklift utilization is low</t>
  </si>
  <si>
    <t xml:space="preserve">1. Review dock operations - are forklifts idle waiting?</t>
  </si>
  <si>
    <t xml:space="preserve">Reduce wasted labor</t>
  </si>
  <si>
    <t xml:space="preserve">2. Batch putaway and retrieval tasks</t>
  </si>
  <si>
    <t xml:space="preserve">Higher throughput per forklift</t>
  </si>
  <si>
    <t xml:space="preserve">3. Cross-train staff on dock &amp; racking</t>
  </si>
  <si>
    <t xml:space="preserve">Flexibility in demand spikes</t>
  </si>
  <si>
    <t xml:space="preserve">Don't know exact pallet cubes</t>
  </si>
  <si>
    <t xml:space="preserve">1. Measure a sample of each SKU (3-5 pallets)</t>
  </si>
  <si>
    <t xml:space="preserve">Accurate future forecasts</t>
  </si>
  <si>
    <t xml:space="preserve">2. Record in SKU Details sheet monthly</t>
  </si>
  <si>
    <t xml:space="preserve">Build historical baseline</t>
  </si>
  <si>
    <t xml:space="preserve">3. Use this data to forecast space for growth</t>
  </si>
  <si>
    <t xml:space="preserve">Plan capacity expansion</t>
  </si>
  <si>
    <t xml:space="preserve">HIGH-IMPACT IMPROVEMENTS (Prioritize these)</t>
  </si>
  <si>
    <t xml:space="preserve">Step 1</t>
  </si>
  <si>
    <t xml:space="preserve">Measure your actual warehouse (length, width, height, non-storage areas)</t>
  </si>
  <si>
    <t xml:space="preserve">Know your real baseline</t>
  </si>
  <si>
    <t xml:space="preserve">Step 2</t>
  </si>
  <si>
    <t xml:space="preserve">Count pallets and estimate cube for top 10 SKUs (80/20 rule)</t>
  </si>
  <si>
    <t xml:space="preserve">Quick, 90% accurate</t>
  </si>
  <si>
    <t xml:space="preserve">Step 3</t>
  </si>
  <si>
    <t xml:space="preserve">Calculate current utilization %</t>
  </si>
  <si>
    <t xml:space="preserve">Know your starting point</t>
  </si>
  <si>
    <t xml:space="preserve">Step 4</t>
  </si>
  <si>
    <t xml:space="preserve">Implement ABC slotting (A items near dock, C items back)</t>
  </si>
  <si>
    <t xml:space="preserve">10-30% picking speed gain</t>
  </si>
  <si>
    <t xml:space="preserve">Step 5</t>
  </si>
  <si>
    <t xml:space="preserve">Monitor monthly - track utilization trend</t>
  </si>
  <si>
    <t xml:space="preserve">Spot problems early</t>
  </si>
  <si>
    <t xml:space="preserve">FMCG-SPECIFIC NOTES:</t>
  </si>
  <si>
    <t xml:space="preserve">FIFO Rotation</t>
  </si>
  <si>
    <t xml:space="preserve">Older stock must leave first. Mark entry dates on pallets. Review expiry dates weekly.</t>
  </si>
  <si>
    <t xml:space="preserve">Fast Movers</t>
  </si>
  <si>
    <t xml:space="preserve">FMCG items (beverages, staples) turn fast. Place near dispatch for quick loading.</t>
  </si>
  <si>
    <t xml:space="preserve">Seasonal Peaks</t>
  </si>
  <si>
    <t xml:space="preserve">Plan buffer space Oct-Nov (holiday stock). Use utilization 50-60% target in off-season.</t>
  </si>
  <si>
    <t xml:space="preserve">Damage Control</t>
  </si>
  <si>
    <t xml:space="preserve">Inspect loaded pallets weekly. High-cube items (light/bulky) waste space; consider repackaging.</t>
  </si>
  <si>
    <t xml:space="preserve">Dock Efficiency</t>
  </si>
  <si>
    <t xml:space="preserve">Your picking speed depends on dock layout. Minimize dock-to-racking travel time.</t>
  </si>
  <si>
    <t xml:space="preserve">MODEL ASSUMPTIONS</t>
  </si>
  <si>
    <t xml:space="preserve">Warehouse dimensions</t>
  </si>
  <si>
    <t xml:space="preserve">Usable storage space only (aisles/offices excluded)</t>
  </si>
  <si>
    <t xml:space="preserve">Height definition</t>
  </si>
  <si>
    <t xml:space="preserve">Clear storage height excluding sprinkler clearance</t>
  </si>
  <si>
    <t xml:space="preserve">Pallet dimensions</t>
  </si>
  <si>
    <t xml:space="preserve">Loaded pallet dimensions</t>
  </si>
  <si>
    <t xml:space="preserve">SKU storage rule</t>
  </si>
  <si>
    <t xml:space="preserve">One SKU per pallet position</t>
  </si>
  <si>
    <t xml:space="preserve">Capacity logic</t>
  </si>
  <si>
    <t xml:space="preserve">Utilization &gt; 85% indicates congestion risk</t>
  </si>
  <si>
    <t xml:space="preserve">Capacity Adjustment Inputs</t>
  </si>
  <si>
    <t xml:space="preserve">Gross Warehouse Volume</t>
  </si>
  <si>
    <t xml:space="preserve">Usable Space Factor</t>
  </si>
  <si>
    <t xml:space="preserve">Usable Storage Volume</t>
  </si>
  <si>
    <t xml:space="preserve">Utilization Thresholds</t>
  </si>
  <si>
    <t xml:space="preserve">Green</t>
  </si>
  <si>
    <t xml:space="preserve">Amber</t>
  </si>
  <si>
    <t xml:space="preserve">Red</t>
  </si>
  <si>
    <t xml:space="preserve">Cubic Utilization</t>
  </si>
  <si>
    <t xml:space="preserve">&lt;70%</t>
  </si>
  <si>
    <t xml:space="preserve">70–85%</t>
  </si>
  <si>
    <t xml:space="preserve">&gt;85%</t>
  </si>
  <si>
    <t xml:space="preserve">Pallet Utilization</t>
  </si>
  <si>
    <t xml:space="preserve">&lt;75%</t>
  </si>
  <si>
    <t xml:space="preserve">75–90%</t>
  </si>
  <si>
    <t xml:space="preserve">&gt;90%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</si>
</sst>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50.71"/>
    <col collapsed="false" customWidth="true" hidden="false" outlineLevel="0" max="3" min="3" style="0" width="27.72"/>
    <col collapsed="false" customWidth="true" hidden="false" outlineLevel="0" max="4" min="4" style="0" width="45.71"/>
    <col collapsed="false" customWidth="true" hidden="false" outlineLevel="0" max="5" min="5" style="0" width="37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10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s">
        <v>9</v>
      </c>
      <c r="D8" s="0" t="s">
        <v>10</v>
      </c>
    </row>
    <row r="9" customFormat="false" ht="15" hidden="false" customHeight="false" outlineLevel="0" collapsed="false">
      <c r="A9" s="0" t="s">
        <v>13</v>
      </c>
      <c r="B9" s="0" t="n">
        <f aca="false">B7*B8</f>
        <v>30000</v>
      </c>
      <c r="C9" s="0" t="s">
        <v>14</v>
      </c>
      <c r="D9" s="0" t="s">
        <v>15</v>
      </c>
    </row>
    <row r="11" customFormat="false" ht="15" hidden="false" customHeight="false" outlineLevel="0" collapsed="false">
      <c r="A11" s="0" t="s">
        <v>16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0" t="s">
        <v>14</v>
      </c>
      <c r="D12" s="0" t="s">
        <v>19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s">
        <v>14</v>
      </c>
      <c r="D13" s="0" t="s">
        <v>22</v>
      </c>
    </row>
    <row r="14" customFormat="false" ht="15" hidden="false" customHeight="false" outlineLevel="0" collapsed="false">
      <c r="A14" s="0" t="s">
        <v>23</v>
      </c>
      <c r="B14" s="0" t="s">
        <v>24</v>
      </c>
      <c r="C14" s="0" t="s">
        <v>14</v>
      </c>
      <c r="D14" s="0" t="s">
        <v>25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0" t="s">
        <v>14</v>
      </c>
      <c r="D15" s="0" t="s">
        <v>28</v>
      </c>
    </row>
    <row r="16" customFormat="false" ht="15" hidden="false" customHeight="false" outlineLevel="0" collapsed="false">
      <c r="A16" s="0" t="s">
        <v>29</v>
      </c>
      <c r="B16" s="0" t="s">
        <v>8</v>
      </c>
      <c r="C16" s="0" t="s">
        <v>14</v>
      </c>
      <c r="D16" s="0" t="s">
        <v>30</v>
      </c>
    </row>
    <row r="17" customFormat="false" ht="15" hidden="false" customHeight="false" outlineLevel="0" collapsed="false">
      <c r="A17" s="0" t="s">
        <v>31</v>
      </c>
      <c r="B17" s="0" t="n">
        <f aca="false">B12+B13+B14+B15+B16</f>
        <v>7000</v>
      </c>
      <c r="C17" s="0" t="s">
        <v>14</v>
      </c>
      <c r="D17" s="0" t="s">
        <v>32</v>
      </c>
    </row>
    <row r="19" customFormat="false" ht="15" hidden="false" customHeight="false" outlineLevel="0" collapsed="false">
      <c r="A19" s="0" t="s">
        <v>33</v>
      </c>
      <c r="B19" s="0" t="n">
        <f aca="false">B9-B17</f>
        <v>23000</v>
      </c>
      <c r="C19" s="0" t="s">
        <v>14</v>
      </c>
      <c r="D19" s="0" t="s">
        <v>34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0" t="s">
        <v>9</v>
      </c>
      <c r="D20" s="0" t="s">
        <v>37</v>
      </c>
    </row>
    <row r="21" customFormat="false" ht="15" hidden="false" customHeight="false" outlineLevel="0" collapsed="false">
      <c r="A21" s="0" t="s">
        <v>38</v>
      </c>
      <c r="B21" s="0" t="n">
        <f aca="false">B18*B19</f>
        <v>0</v>
      </c>
      <c r="C21" s="0" t="s">
        <v>39</v>
      </c>
      <c r="D21" s="0" t="s">
        <v>40</v>
      </c>
    </row>
    <row r="23" customFormat="false" ht="15" hidden="false" customHeight="false" outlineLevel="0" collapsed="false">
      <c r="A23" s="0" t="s">
        <v>41</v>
      </c>
    </row>
    <row r="25" customFormat="false" ht="15" hidden="false" customHeight="false" outlineLevel="0" collapsed="false">
      <c r="A25" s="0" t="s">
        <v>42</v>
      </c>
      <c r="B25" s="0" t="s">
        <v>43</v>
      </c>
      <c r="C25" s="0" t="s">
        <v>44</v>
      </c>
      <c r="D25" s="0" t="s">
        <v>45</v>
      </c>
    </row>
    <row r="26" customFormat="false" ht="15" hidden="false" customHeight="false" outlineLevel="0" collapsed="false">
      <c r="A26" s="0" t="s">
        <v>46</v>
      </c>
      <c r="B26" s="0" t="s">
        <v>47</v>
      </c>
      <c r="C26" s="0" t="s">
        <v>14</v>
      </c>
      <c r="D26" s="0" t="s">
        <v>48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0" t="s">
        <v>44</v>
      </c>
      <c r="D27" s="0" t="s">
        <v>51</v>
      </c>
    </row>
    <row r="28" customFormat="false" ht="15" hidden="false" customHeight="false" outlineLevel="0" collapsed="false">
      <c r="A28" s="0" t="s">
        <v>52</v>
      </c>
      <c r="B28" s="0" t="s">
        <v>53</v>
      </c>
      <c r="C28" s="0" t="s">
        <v>44</v>
      </c>
      <c r="D28" s="0" t="s">
        <v>54</v>
      </c>
    </row>
    <row r="29" customFormat="false" ht="15" hidden="false" customHeight="false" outlineLevel="0" collapsed="false">
      <c r="A29" s="0" t="s">
        <v>55</v>
      </c>
      <c r="B29" s="0" t="n">
        <f aca="false">B26+B27</f>
        <v>73.33</v>
      </c>
      <c r="C29" s="0" t="s">
        <v>44</v>
      </c>
      <c r="D29" s="0" t="s">
        <v>56</v>
      </c>
    </row>
    <row r="30" customFormat="false" ht="15" hidden="false" customHeight="false" outlineLevel="0" collapsed="false">
      <c r="A30" s="0" t="s">
        <v>57</v>
      </c>
      <c r="B30" s="0" t="n">
        <f aca="false">B28/12</f>
        <v>1</v>
      </c>
      <c r="C30" s="0" t="s">
        <v>9</v>
      </c>
      <c r="D30" s="0" t="s">
        <v>58</v>
      </c>
    </row>
    <row r="32" customFormat="false" ht="15" hidden="false" customHeight="false" outlineLevel="0" collapsed="false">
      <c r="A32" s="0" t="s">
        <v>59</v>
      </c>
      <c r="B32" s="0" t="n">
        <f aca="false">INT(B19/B29)</f>
        <v>313</v>
      </c>
      <c r="C32" s="0" t="s">
        <v>60</v>
      </c>
      <c r="D32" s="0" t="s">
        <v>61</v>
      </c>
    </row>
    <row r="34" customFormat="false" ht="15" hidden="false" customHeight="false" outlineLevel="0" collapsed="false">
      <c r="A34" s="0" t="s">
        <v>62</v>
      </c>
    </row>
    <row r="35" customFormat="false" ht="15" hidden="false" customHeight="false" outlineLevel="0" collapsed="false">
      <c r="A35" s="0" t="s">
        <v>63</v>
      </c>
      <c r="B35" s="0" t="s">
        <v>64</v>
      </c>
      <c r="D35" s="0" t="s">
        <v>65</v>
      </c>
    </row>
    <row r="37" customFormat="false" ht="15" hidden="false" customHeight="false" outlineLevel="0" collapsed="false">
      <c r="A37" s="0" t="s">
        <v>66</v>
      </c>
    </row>
    <row r="38" customFormat="false" ht="15" hidden="false" customHeight="false" outlineLevel="0" collapsed="false">
      <c r="A38" s="0" t="s">
        <v>67</v>
      </c>
      <c r="B38" s="0" t="e">
        <f aca="false">INT(B18/B24)</f>
        <v>#DIV/0!</v>
      </c>
      <c r="C38" s="0" t="s">
        <v>68</v>
      </c>
      <c r="D38" s="0" t="s">
        <v>69</v>
      </c>
    </row>
    <row r="39" customFormat="false" ht="15" hidden="false" customHeight="false" outlineLevel="0" collapsed="false">
      <c r="A39" s="0" t="s">
        <v>70</v>
      </c>
      <c r="B39" s="0" t="e">
        <f aca="false">B30*B35</f>
        <v>#VALUE!</v>
      </c>
      <c r="C39" s="0" t="s">
        <v>68</v>
      </c>
      <c r="D39" s="0" t="s">
        <v>71</v>
      </c>
    </row>
    <row r="41" customFormat="false" ht="15" hidden="false" customHeight="false" outlineLevel="0" collapsed="false">
      <c r="A41" s="0" t="s">
        <v>72</v>
      </c>
    </row>
    <row r="42" customFormat="false" ht="15" hidden="false" customHeight="false" outlineLevel="0" collapsed="false">
      <c r="A42" s="0" t="s">
        <v>73</v>
      </c>
      <c r="B42" s="0" t="e">
        <f aca="false">INT(B35*1.5)</f>
        <v>#VALUE!</v>
      </c>
      <c r="C42" s="0" t="s">
        <v>68</v>
      </c>
      <c r="D42" s="0" t="s">
        <v>74</v>
      </c>
    </row>
    <row r="43" customFormat="false" ht="15" hidden="false" customHeight="false" outlineLevel="0" collapsed="false">
      <c r="A43" s="0" t="s">
        <v>70</v>
      </c>
      <c r="B43" s="0" t="e">
        <f aca="false">B30*B39</f>
        <v>#VALUE!</v>
      </c>
      <c r="C43" s="0" t="s">
        <v>68</v>
      </c>
      <c r="D43" s="0" t="s">
        <v>75</v>
      </c>
    </row>
    <row r="45" customFormat="false" ht="15" hidden="false" customHeight="false" outlineLevel="0" collapsed="false">
      <c r="A45" s="0" t="s">
        <v>76</v>
      </c>
      <c r="B45" s="0" t="n">
        <f aca="false">IF(B33="Double",B40,B36)</f>
        <v>0</v>
      </c>
      <c r="C45" s="0" t="s">
        <v>68</v>
      </c>
      <c r="D45" s="0" t="s">
        <v>77</v>
      </c>
    </row>
    <row r="47" customFormat="false" ht="15" hidden="false" customHeight="false" outlineLevel="0" collapsed="false">
      <c r="A47" s="0" t="s">
        <v>78</v>
      </c>
    </row>
    <row r="49" customFormat="false" ht="15" hidden="false" customHeight="false" outlineLevel="0" collapsed="false">
      <c r="A49" s="0" t="s">
        <v>79</v>
      </c>
      <c r="B49" s="0" t="s">
        <v>80</v>
      </c>
      <c r="C49" s="0" t="s">
        <v>81</v>
      </c>
      <c r="D49" s="0" t="s">
        <v>82</v>
      </c>
      <c r="E49" s="0" t="s">
        <v>6</v>
      </c>
    </row>
    <row r="50" customFormat="false" ht="15" hidden="false" customHeight="false" outlineLevel="0" collapsed="false">
      <c r="A50" s="0" t="s">
        <v>83</v>
      </c>
      <c r="B50" s="0" t="s">
        <v>84</v>
      </c>
      <c r="C50" s="0" t="s">
        <v>85</v>
      </c>
      <c r="D50" s="0" t="n">
        <f aca="false">B46*C46</f>
        <v>0</v>
      </c>
      <c r="E50" s="0" t="s">
        <v>86</v>
      </c>
    </row>
    <row r="51" customFormat="false" ht="15" hidden="false" customHeight="false" outlineLevel="0" collapsed="false">
      <c r="A51" s="0" t="s">
        <v>87</v>
      </c>
      <c r="B51" s="0" t="s">
        <v>8</v>
      </c>
      <c r="C51" s="0" t="s">
        <v>88</v>
      </c>
      <c r="D51" s="0" t="n">
        <f aca="false">B47*C47</f>
        <v>0</v>
      </c>
      <c r="E51" s="0" t="s">
        <v>89</v>
      </c>
    </row>
    <row r="52" customFormat="false" ht="15" hidden="false" customHeight="false" outlineLevel="0" collapsed="false">
      <c r="A52" s="0" t="s">
        <v>90</v>
      </c>
      <c r="B52" s="0" t="s">
        <v>12</v>
      </c>
      <c r="C52" s="0" t="s">
        <v>91</v>
      </c>
      <c r="D52" s="0" t="n">
        <f aca="false">B48*C48</f>
        <v>0</v>
      </c>
      <c r="E52" s="0" t="s">
        <v>92</v>
      </c>
    </row>
    <row r="53" customFormat="false" ht="15" hidden="false" customHeight="false" outlineLevel="0" collapsed="false">
      <c r="A53" s="0" t="s">
        <v>93</v>
      </c>
      <c r="B53" s="0" t="s">
        <v>94</v>
      </c>
      <c r="C53" s="0" t="s">
        <v>95</v>
      </c>
      <c r="D53" s="0" t="e">
        <f aca="false">B49*C49</f>
        <v>#VALUE!</v>
      </c>
      <c r="E53" s="0" t="s">
        <v>96</v>
      </c>
    </row>
    <row r="54" customFormat="false" ht="15" hidden="false" customHeight="false" outlineLevel="0" collapsed="false">
      <c r="A54" s="0" t="s">
        <v>97</v>
      </c>
      <c r="B54" s="0" t="s">
        <v>98</v>
      </c>
      <c r="C54" s="0" t="s">
        <v>98</v>
      </c>
      <c r="D54" s="0" t="n">
        <f aca="false">B50*C50</f>
        <v>1200</v>
      </c>
    </row>
    <row r="56" customFormat="false" ht="15" hidden="false" customHeight="false" outlineLevel="0" collapsed="false">
      <c r="A56" s="0" t="s">
        <v>99</v>
      </c>
      <c r="B56" s="0" t="e">
        <f aca="false">D46+D47+D48+D49+D50</f>
        <v>#VALUE!</v>
      </c>
      <c r="C56" s="0" t="s">
        <v>39</v>
      </c>
      <c r="D56" s="0" t="s">
        <v>100</v>
      </c>
    </row>
    <row r="58" customFormat="false" ht="15" hidden="false" customHeight="false" outlineLevel="0" collapsed="false">
      <c r="A58" s="0" t="s">
        <v>101</v>
      </c>
    </row>
    <row r="60" customFormat="false" ht="15" hidden="false" customHeight="false" outlineLevel="0" collapsed="false">
      <c r="A60" s="0" t="s">
        <v>102</v>
      </c>
      <c r="B60" s="0" t="n">
        <f aca="false">D51</f>
        <v>0</v>
      </c>
      <c r="C60" s="0" t="s">
        <v>39</v>
      </c>
    </row>
    <row r="61" customFormat="false" ht="15" hidden="false" customHeight="false" outlineLevel="0" collapsed="false">
      <c r="A61" s="0" t="s">
        <v>103</v>
      </c>
      <c r="B61" s="0" t="str">
        <f aca="false">B20</f>
        <v>22</v>
      </c>
      <c r="C61" s="0" t="s">
        <v>39</v>
      </c>
    </row>
    <row r="62" customFormat="false" ht="15" hidden="false" customHeight="false" outlineLevel="0" collapsed="false">
      <c r="A62" s="0" t="s">
        <v>104</v>
      </c>
      <c r="B62" s="0" t="e">
        <f aca="false">ROUND((D53/D54)*100,2)</f>
        <v>#VALUE!</v>
      </c>
      <c r="C62" s="0" t="s">
        <v>105</v>
      </c>
      <c r="D62" s="0" t="s">
        <v>106</v>
      </c>
    </row>
    <row r="64" customFormat="false" ht="15" hidden="false" customHeight="false" outlineLevel="0" collapsed="false">
      <c r="A64" s="0" t="s">
        <v>107</v>
      </c>
    </row>
    <row r="65" customFormat="false" ht="15" hidden="false" customHeight="false" outlineLevel="0" collapsed="false">
      <c r="A65" s="0" t="s">
        <v>108</v>
      </c>
      <c r="B65" s="0" t="s">
        <v>109</v>
      </c>
      <c r="E65" s="0" t="s">
        <v>110</v>
      </c>
    </row>
    <row r="66" customFormat="false" ht="15" hidden="false" customHeight="false" outlineLevel="0" collapsed="false">
      <c r="A66" s="0" t="s">
        <v>111</v>
      </c>
      <c r="B66" s="0" t="s">
        <v>112</v>
      </c>
      <c r="E66" s="0" t="s">
        <v>113</v>
      </c>
    </row>
    <row r="67" customFormat="false" ht="15" hidden="false" customHeight="false" outlineLevel="0" collapsed="false">
      <c r="A67" s="0" t="s">
        <v>114</v>
      </c>
      <c r="B67" s="0" t="s">
        <v>115</v>
      </c>
      <c r="E67" s="0" t="s">
        <v>116</v>
      </c>
    </row>
    <row r="69" customFormat="false" ht="15" hidden="false" customHeight="false" outlineLevel="0" collapsed="false">
      <c r="A69" s="0" t="s">
        <v>117</v>
      </c>
      <c r="B69" s="0" t="str">
        <f aca="false">IF(D55&lt;40,"Low Utilization - Under-capacity",IF(D55&lt;50,"Good - Room to grow",IF(D55&lt;70,"OPTIMAL - Target range","High - Monitor congestion")))</f>
        <v>Low Utilization - Under-capacity</v>
      </c>
    </row>
    <row r="71" customFormat="false" ht="15" hidden="false" customHeight="false" outlineLevel="0" collapsed="false">
      <c r="A71" s="0" t="s">
        <v>118</v>
      </c>
    </row>
    <row r="72" customFormat="false" ht="15" hidden="false" customHeight="false" outlineLevel="0" collapsed="false">
      <c r="A72" s="0" t="s">
        <v>119</v>
      </c>
      <c r="B72" s="0" t="e">
        <f aca="false">B46+B47+B48+B49+B50</f>
        <v>#VALUE!</v>
      </c>
      <c r="C72" s="0" t="s">
        <v>120</v>
      </c>
      <c r="D72" s="0" t="s">
        <v>121</v>
      </c>
    </row>
    <row r="73" customFormat="false" ht="15" hidden="false" customHeight="false" outlineLevel="0" collapsed="false">
      <c r="A73" s="0" t="s">
        <v>122</v>
      </c>
      <c r="B73" s="0" t="e">
        <f aca="false">B42</f>
        <v>#VALUE!</v>
      </c>
      <c r="C73" s="0" t="s">
        <v>68</v>
      </c>
      <c r="D73" s="0" t="s">
        <v>123</v>
      </c>
    </row>
    <row r="74" customFormat="false" ht="15" hidden="false" customHeight="false" outlineLevel="0" collapsed="false">
      <c r="A74" s="0" t="s">
        <v>124</v>
      </c>
      <c r="B74" s="0" t="n">
        <f aca="false">B64-B63</f>
        <v>0</v>
      </c>
      <c r="C74" s="0" t="s">
        <v>68</v>
      </c>
      <c r="D74" s="0" t="s">
        <v>125</v>
      </c>
    </row>
    <row r="75" customFormat="false" ht="15" hidden="false" customHeight="false" outlineLevel="0" collapsed="false">
      <c r="A75" s="0" t="s">
        <v>126</v>
      </c>
      <c r="B75" s="0" t="e">
        <f aca="false">ROUND((B63/B64)*100,2)</f>
        <v>#DIV/0!</v>
      </c>
      <c r="C75" s="0" t="s">
        <v>105</v>
      </c>
      <c r="D75" s="0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26.72"/>
    <col collapsed="false" customWidth="true" hidden="false" outlineLevel="0" max="3" min="3" style="0" width="17.71"/>
    <col collapsed="false" customWidth="true" hidden="false" outlineLevel="0" max="4" min="4" style="0" width="20.71"/>
    <col collapsed="false" customWidth="true" hidden="false" outlineLevel="0" max="5" min="5" style="0" width="19.71"/>
    <col collapsed="false" customWidth="true" hidden="false" outlineLevel="0" max="7" min="6" style="0" width="16.71"/>
  </cols>
  <sheetData>
    <row r="1" customFormat="false" ht="15" hidden="false" customHeight="false" outlineLevel="0" collapsed="false">
      <c r="A1" s="0" t="s">
        <v>128</v>
      </c>
    </row>
    <row r="3" customFormat="false" ht="15" hidden="false" customHeight="false" outlineLevel="0" collapsed="false">
      <c r="A3" s="0" t="s">
        <v>129</v>
      </c>
      <c r="B3" s="0" t="s">
        <v>130</v>
      </c>
      <c r="C3" s="0" t="s">
        <v>80</v>
      </c>
      <c r="D3" s="0" t="s">
        <v>131</v>
      </c>
      <c r="E3" s="0" t="s">
        <v>132</v>
      </c>
      <c r="F3" s="0" t="s">
        <v>133</v>
      </c>
      <c r="G3" s="0" t="s">
        <v>6</v>
      </c>
    </row>
    <row r="4" customFormat="false" ht="15" hidden="false" customHeight="false" outlineLevel="0" collapsed="false">
      <c r="A4" s="0" t="s">
        <v>134</v>
      </c>
      <c r="B4" s="0" t="s">
        <v>135</v>
      </c>
      <c r="C4" s="0" t="s">
        <v>12</v>
      </c>
      <c r="D4" s="0" t="s">
        <v>136</v>
      </c>
      <c r="E4" s="0" t="s">
        <v>137</v>
      </c>
      <c r="F4" s="0" t="s">
        <v>138</v>
      </c>
      <c r="G4" s="0" t="s">
        <v>139</v>
      </c>
    </row>
    <row r="5" customFormat="false" ht="15" hidden="false" customHeight="false" outlineLevel="0" collapsed="false">
      <c r="A5" s="0" t="s">
        <v>140</v>
      </c>
      <c r="B5" s="0" t="s">
        <v>141</v>
      </c>
      <c r="C5" s="0" t="s">
        <v>8</v>
      </c>
      <c r="D5" s="0" t="s">
        <v>50</v>
      </c>
      <c r="E5" s="0" t="s">
        <v>142</v>
      </c>
      <c r="F5" s="0" t="s">
        <v>138</v>
      </c>
      <c r="G5" s="0" t="s">
        <v>143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94</v>
      </c>
      <c r="D6" s="0" t="s">
        <v>146</v>
      </c>
      <c r="E6" s="0" t="s">
        <v>147</v>
      </c>
      <c r="F6" s="0" t="s">
        <v>148</v>
      </c>
      <c r="G6" s="0" t="s">
        <v>149</v>
      </c>
    </row>
    <row r="7" customFormat="false" ht="15" hidden="false" customHeight="false" outlineLevel="0" collapsed="false">
      <c r="A7" s="0" t="s">
        <v>150</v>
      </c>
      <c r="B7" s="0" t="s">
        <v>151</v>
      </c>
      <c r="C7" s="0" t="s">
        <v>152</v>
      </c>
      <c r="D7" s="0" t="s">
        <v>153</v>
      </c>
      <c r="E7" s="0" t="s">
        <v>154</v>
      </c>
      <c r="F7" s="0" t="s">
        <v>148</v>
      </c>
      <c r="G7" s="0" t="s">
        <v>155</v>
      </c>
    </row>
    <row r="8" customFormat="false" ht="15" hidden="false" customHeight="false" outlineLevel="0" collapsed="false">
      <c r="A8" s="0" t="s">
        <v>156</v>
      </c>
      <c r="B8" s="0" t="s">
        <v>157</v>
      </c>
      <c r="C8" s="0" t="s">
        <v>153</v>
      </c>
      <c r="D8" s="0" t="s">
        <v>158</v>
      </c>
      <c r="E8" s="0" t="s">
        <v>159</v>
      </c>
      <c r="F8" s="0" t="s">
        <v>160</v>
      </c>
      <c r="G8" s="0" t="s">
        <v>92</v>
      </c>
    </row>
    <row r="9" customFormat="false" ht="15" hidden="false" customHeight="false" outlineLevel="0" collapsed="false">
      <c r="A9" s="0" t="s">
        <v>161</v>
      </c>
      <c r="B9" s="0" t="s">
        <v>162</v>
      </c>
      <c r="C9" s="0" t="s">
        <v>163</v>
      </c>
      <c r="D9" s="0" t="s">
        <v>164</v>
      </c>
      <c r="E9" s="0" t="s">
        <v>165</v>
      </c>
      <c r="F9" s="0" t="s">
        <v>160</v>
      </c>
      <c r="G9" s="0" t="s">
        <v>166</v>
      </c>
    </row>
    <row r="10" customFormat="false" ht="15" hidden="false" customHeight="false" outlineLevel="0" collapsed="false">
      <c r="A10" s="0" t="s">
        <v>167</v>
      </c>
      <c r="B10" s="0" t="s">
        <v>168</v>
      </c>
      <c r="C10" s="0" t="s">
        <v>169</v>
      </c>
      <c r="D10" s="0" t="s">
        <v>136</v>
      </c>
      <c r="E10" s="0" t="s">
        <v>137</v>
      </c>
      <c r="F10" s="0" t="s">
        <v>170</v>
      </c>
      <c r="G10" s="0" t="s">
        <v>171</v>
      </c>
    </row>
    <row r="12" customFormat="false" ht="15" hidden="false" customHeight="false" outlineLevel="0" collapsed="false">
      <c r="A12" s="0" t="s">
        <v>172</v>
      </c>
    </row>
    <row r="13" customFormat="false" ht="15" hidden="false" customHeight="false" outlineLevel="0" collapsed="false">
      <c r="A13" s="0" t="s">
        <v>173</v>
      </c>
    </row>
    <row r="14" customFormat="false" ht="15" hidden="false" customHeight="false" outlineLevel="0" collapsed="false">
      <c r="A14" s="0" t="s">
        <v>174</v>
      </c>
    </row>
    <row r="15" customFormat="false" ht="15" hidden="false" customHeight="false" outlineLevel="0" collapsed="false">
      <c r="A15" s="0" t="s">
        <v>175</v>
      </c>
    </row>
    <row r="16" customFormat="false" ht="15" hidden="false" customHeight="false" outlineLevel="0" collapsed="false">
      <c r="A16" s="0" t="s">
        <v>176</v>
      </c>
    </row>
    <row r="17" customFormat="false" ht="15" hidden="false" customHeight="false" outlineLevel="0" collapsed="false">
      <c r="A17" s="0" t="s">
        <v>177</v>
      </c>
    </row>
    <row r="18" customFormat="false" ht="15" hidden="false" customHeight="false" outlineLevel="0" collapsed="false">
      <c r="A18" s="0" t="s">
        <v>178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50.71"/>
    <col collapsed="false" customWidth="true" hidden="false" outlineLevel="0" max="3" min="3" style="0" width="32.71"/>
  </cols>
  <sheetData>
    <row r="1" customFormat="false" ht="15" hidden="false" customHeight="false" outlineLevel="0" collapsed="false">
      <c r="A1" s="0" t="s">
        <v>179</v>
      </c>
    </row>
    <row r="3" customFormat="false" ht="15" hidden="false" customHeight="false" outlineLevel="0" collapsed="false">
      <c r="A3" s="0" t="s">
        <v>180</v>
      </c>
      <c r="B3" s="0" t="s">
        <v>181</v>
      </c>
      <c r="C3" s="0" t="s">
        <v>182</v>
      </c>
    </row>
    <row r="5" customFormat="false" ht="15" hidden="false" customHeight="false" outlineLevel="0" collapsed="false">
      <c r="A5" s="0" t="s">
        <v>183</v>
      </c>
      <c r="B5" s="0" t="s">
        <v>184</v>
      </c>
      <c r="C5" s="0" t="s">
        <v>185</v>
      </c>
    </row>
    <row r="6" customFormat="false" ht="15" hidden="false" customHeight="false" outlineLevel="0" collapsed="false">
      <c r="B6" s="0" t="s">
        <v>186</v>
      </c>
      <c r="C6" s="0" t="s">
        <v>187</v>
      </c>
    </row>
    <row r="7" customFormat="false" ht="15" hidden="false" customHeight="false" outlineLevel="0" collapsed="false">
      <c r="B7" s="0" t="s">
        <v>188</v>
      </c>
      <c r="C7" s="0" t="s">
        <v>189</v>
      </c>
    </row>
    <row r="8" customFormat="false" ht="15" hidden="false" customHeight="false" outlineLevel="0" collapsed="false">
      <c r="B8" s="0" t="s">
        <v>190</v>
      </c>
      <c r="C8" s="0" t="s">
        <v>191</v>
      </c>
    </row>
    <row r="10" customFormat="false" ht="15" hidden="false" customHeight="false" outlineLevel="0" collapsed="false">
      <c r="A10" s="0" t="s">
        <v>192</v>
      </c>
      <c r="B10" s="0" t="s">
        <v>193</v>
      </c>
      <c r="C10" s="0" t="s">
        <v>194</v>
      </c>
    </row>
    <row r="11" customFormat="false" ht="15" hidden="false" customHeight="false" outlineLevel="0" collapsed="false">
      <c r="B11" s="0" t="s">
        <v>195</v>
      </c>
      <c r="C11" s="0" t="s">
        <v>196</v>
      </c>
    </row>
    <row r="12" customFormat="false" ht="15" hidden="false" customHeight="false" outlineLevel="0" collapsed="false">
      <c r="B12" s="0" t="s">
        <v>197</v>
      </c>
      <c r="C12" s="0" t="s">
        <v>198</v>
      </c>
    </row>
    <row r="13" customFormat="false" ht="15" hidden="false" customHeight="false" outlineLevel="0" collapsed="false">
      <c r="B13" s="0" t="s">
        <v>199</v>
      </c>
      <c r="C13" s="0" t="s">
        <v>200</v>
      </c>
    </row>
    <row r="15" customFormat="false" ht="15" hidden="false" customHeight="false" outlineLevel="0" collapsed="false">
      <c r="A15" s="0" t="s">
        <v>201</v>
      </c>
      <c r="B15" s="0" t="s">
        <v>202</v>
      </c>
      <c r="C15" s="0" t="s">
        <v>203</v>
      </c>
    </row>
    <row r="16" customFormat="false" ht="15" hidden="false" customHeight="false" outlineLevel="0" collapsed="false">
      <c r="B16" s="0" t="s">
        <v>204</v>
      </c>
      <c r="C16" s="0" t="s">
        <v>205</v>
      </c>
    </row>
    <row r="17" customFormat="false" ht="15" hidden="false" customHeight="false" outlineLevel="0" collapsed="false">
      <c r="B17" s="0" t="s">
        <v>206</v>
      </c>
      <c r="C17" s="0" t="s">
        <v>207</v>
      </c>
    </row>
    <row r="18" customFormat="false" ht="15" hidden="false" customHeight="false" outlineLevel="0" collapsed="false">
      <c r="B18" s="0" t="s">
        <v>208</v>
      </c>
      <c r="C18" s="0" t="s">
        <v>209</v>
      </c>
    </row>
    <row r="20" customFormat="false" ht="15" hidden="false" customHeight="false" outlineLevel="0" collapsed="false">
      <c r="A20" s="0" t="s">
        <v>210</v>
      </c>
      <c r="B20" s="0" t="s">
        <v>211</v>
      </c>
      <c r="C20" s="0" t="s">
        <v>212</v>
      </c>
    </row>
    <row r="21" customFormat="false" ht="15" hidden="false" customHeight="false" outlineLevel="0" collapsed="false">
      <c r="B21" s="0" t="s">
        <v>213</v>
      </c>
      <c r="C21" s="0" t="s">
        <v>214</v>
      </c>
    </row>
    <row r="22" customFormat="false" ht="15" hidden="false" customHeight="false" outlineLevel="0" collapsed="false">
      <c r="B22" s="0" t="s">
        <v>215</v>
      </c>
      <c r="C22" s="0" t="s">
        <v>216</v>
      </c>
    </row>
    <row r="24" customFormat="false" ht="15" hidden="false" customHeight="false" outlineLevel="0" collapsed="false">
      <c r="A24" s="0" t="s">
        <v>217</v>
      </c>
      <c r="B24" s="0" t="s">
        <v>218</v>
      </c>
      <c r="C24" s="0" t="s">
        <v>219</v>
      </c>
    </row>
    <row r="25" customFormat="false" ht="15" hidden="false" customHeight="false" outlineLevel="0" collapsed="false">
      <c r="B25" s="0" t="s">
        <v>220</v>
      </c>
      <c r="C25" s="0" t="s">
        <v>221</v>
      </c>
    </row>
    <row r="26" customFormat="false" ht="15" hidden="false" customHeight="false" outlineLevel="0" collapsed="false">
      <c r="B26" s="0" t="s">
        <v>222</v>
      </c>
      <c r="C26" s="0" t="s">
        <v>223</v>
      </c>
    </row>
    <row r="28" customFormat="false" ht="15" hidden="false" customHeight="false" outlineLevel="0" collapsed="false">
      <c r="A28" s="0" t="s">
        <v>224</v>
      </c>
    </row>
    <row r="29" customFormat="false" ht="15" hidden="false" customHeight="false" outlineLevel="0" collapsed="false">
      <c r="A29" s="0" t="s">
        <v>225</v>
      </c>
      <c r="B29" s="0" t="s">
        <v>226</v>
      </c>
      <c r="C29" s="0" t="s">
        <v>227</v>
      </c>
    </row>
    <row r="30" customFormat="false" ht="15" hidden="false" customHeight="false" outlineLevel="0" collapsed="false">
      <c r="A30" s="0" t="s">
        <v>228</v>
      </c>
      <c r="B30" s="0" t="s">
        <v>229</v>
      </c>
      <c r="C30" s="0" t="s">
        <v>230</v>
      </c>
    </row>
    <row r="31" customFormat="false" ht="15" hidden="false" customHeight="false" outlineLevel="0" collapsed="false">
      <c r="A31" s="0" t="s">
        <v>231</v>
      </c>
      <c r="B31" s="0" t="s">
        <v>232</v>
      </c>
      <c r="C31" s="0" t="s">
        <v>233</v>
      </c>
    </row>
    <row r="32" customFormat="false" ht="15" hidden="false" customHeight="false" outlineLevel="0" collapsed="false">
      <c r="A32" s="0" t="s">
        <v>234</v>
      </c>
      <c r="B32" s="0" t="s">
        <v>235</v>
      </c>
      <c r="C32" s="0" t="s">
        <v>236</v>
      </c>
    </row>
    <row r="33" customFormat="false" ht="15" hidden="false" customHeight="false" outlineLevel="0" collapsed="false">
      <c r="A33" s="0" t="s">
        <v>237</v>
      </c>
      <c r="B33" s="0" t="s">
        <v>238</v>
      </c>
      <c r="C33" s="0" t="s">
        <v>239</v>
      </c>
    </row>
    <row r="35" customFormat="false" ht="15" hidden="false" customHeight="false" outlineLevel="0" collapsed="false">
      <c r="A35" s="0" t="s">
        <v>240</v>
      </c>
    </row>
    <row r="36" customFormat="false" ht="15" hidden="false" customHeight="false" outlineLevel="0" collapsed="false">
      <c r="A36" s="0" t="s">
        <v>241</v>
      </c>
      <c r="B36" s="0" t="s">
        <v>242</v>
      </c>
    </row>
    <row r="37" customFormat="false" ht="15" hidden="false" customHeight="false" outlineLevel="0" collapsed="false">
      <c r="A37" s="0" t="s">
        <v>243</v>
      </c>
      <c r="B37" s="0" t="s">
        <v>244</v>
      </c>
    </row>
    <row r="38" customFormat="false" ht="15" hidden="false" customHeight="false" outlineLevel="0" collapsed="false">
      <c r="A38" s="0" t="s">
        <v>245</v>
      </c>
      <c r="B38" s="0" t="s">
        <v>246</v>
      </c>
    </row>
    <row r="39" customFormat="false" ht="15" hidden="false" customHeight="false" outlineLevel="0" collapsed="false">
      <c r="A39" s="0" t="s">
        <v>247</v>
      </c>
      <c r="B39" s="0" t="s">
        <v>248</v>
      </c>
    </row>
    <row r="40" customFormat="false" ht="15" hidden="false" customHeight="false" outlineLevel="0" collapsed="false">
      <c r="A40" s="0" t="s">
        <v>249</v>
      </c>
      <c r="B40" s="0" t="s">
        <v>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0" t="s">
        <v>252</v>
      </c>
      <c r="B3" s="0" t="s">
        <v>253</v>
      </c>
    </row>
    <row r="4" customFormat="false" ht="15" hidden="false" customHeight="false" outlineLevel="0" collapsed="false">
      <c r="A4" s="0" t="s">
        <v>254</v>
      </c>
      <c r="B4" s="0" t="s">
        <v>255</v>
      </c>
    </row>
    <row r="5" customFormat="false" ht="15" hidden="false" customHeight="false" outlineLevel="0" collapsed="false">
      <c r="A5" s="0" t="s">
        <v>256</v>
      </c>
      <c r="B5" s="0" t="s">
        <v>257</v>
      </c>
    </row>
    <row r="6" customFormat="false" ht="15" hidden="false" customHeight="false" outlineLevel="0" collapsed="false">
      <c r="A6" s="0" t="s">
        <v>258</v>
      </c>
      <c r="B6" s="0" t="s">
        <v>259</v>
      </c>
    </row>
    <row r="7" customFormat="false" ht="15" hidden="false" customHeight="false" outlineLevel="0" collapsed="false">
      <c r="A7" s="0" t="s">
        <v>260</v>
      </c>
      <c r="B7" s="0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01"/>
    <col collapsed="false" customWidth="true" hidden="false" outlineLevel="0" max="2" min="2" style="0" width="15.87"/>
  </cols>
  <sheetData>
    <row r="1" customFormat="false" ht="15" hidden="false" customHeight="false" outlineLevel="0" collapsed="false">
      <c r="A1" s="1" t="s">
        <v>262</v>
      </c>
    </row>
    <row r="3" customFormat="false" ht="15" hidden="false" customHeight="false" outlineLevel="0" collapsed="false">
      <c r="A3" s="0" t="s">
        <v>263</v>
      </c>
      <c r="B3" s="0" t="s">
        <v>15</v>
      </c>
    </row>
    <row r="4" customFormat="false" ht="15" hidden="false" customHeight="false" outlineLevel="0" collapsed="false">
      <c r="A4" s="0" t="s">
        <v>264</v>
      </c>
      <c r="B4" s="0" t="n">
        <v>0.75</v>
      </c>
    </row>
    <row r="5" customFormat="false" ht="15" hidden="false" customHeight="false" outlineLevel="0" collapsed="false">
      <c r="A5" s="0" t="s">
        <v>265</v>
      </c>
      <c r="B5" s="0" t="e">
        <f aca="false">B3*B4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266</v>
      </c>
    </row>
    <row r="3" customFormat="false" ht="15" hidden="false" customHeight="false" outlineLevel="0" collapsed="false">
      <c r="A3" s="0" t="s">
        <v>3</v>
      </c>
      <c r="B3" s="0" t="s">
        <v>267</v>
      </c>
      <c r="C3" s="0" t="s">
        <v>268</v>
      </c>
      <c r="D3" s="0" t="s">
        <v>269</v>
      </c>
    </row>
    <row r="4" customFormat="false" ht="15" hidden="false" customHeight="false" outlineLevel="0" collapsed="false">
      <c r="A4" s="0" t="s">
        <v>270</v>
      </c>
      <c r="B4" s="0" t="s">
        <v>271</v>
      </c>
      <c r="C4" s="0" t="s">
        <v>272</v>
      </c>
      <c r="D4" s="0" t="s">
        <v>273</v>
      </c>
    </row>
    <row r="5" customFormat="false" ht="15" hidden="false" customHeight="false" outlineLevel="0" collapsed="false">
      <c r="A5" s="0" t="s">
        <v>274</v>
      </c>
      <c r="B5" s="0" t="s">
        <v>275</v>
      </c>
      <c r="C5" s="0" t="s">
        <v>276</v>
      </c>
      <c r="D5" s="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2025-12-21T05:03:42Z</dcterms:created>
  <dc:creator/>
  <dc:description/>
  <dc:language>en-GB</dc:language>
  <cp:lastModifiedBy/>
  <dcterms:modified xsi:type="dcterms:W3CDTF">2025-12-21T07:35:04Z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